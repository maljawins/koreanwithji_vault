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BB464C9B-3A22-466E-92DF-EACDA4C18F7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매핑 완성본" sheetId="1" r:id="rId1"/>
    <sheet name="미매핑 항목" sheetId="2" r:id="rId2"/>
  </sheets>
  <definedNames>
    <definedName name="_xlnm._FilterDatabase" localSheetId="0" hidden="1">'매핑 완성본'!$A$1:$I$110</definedName>
  </definedNames>
  <calcPr calcId="191029"/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0" i="1"/>
  <c r="G11" i="1"/>
  <c r="G9" i="1"/>
  <c r="G5" i="1"/>
  <c r="G8" i="1"/>
  <c r="G7" i="1"/>
  <c r="G6" i="1"/>
  <c r="G4" i="1"/>
  <c r="G3" i="1"/>
  <c r="G2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8" i="1"/>
  <c r="G30" i="1"/>
  <c r="G29" i="1"/>
  <c r="G26" i="1"/>
  <c r="G27" i="1"/>
</calcChain>
</file>

<file path=xl/sharedStrings.xml><?xml version="1.0" encoding="utf-8"?>
<sst xmlns="http://schemas.openxmlformats.org/spreadsheetml/2006/main" count="576" uniqueCount="294">
  <si>
    <t>Lesson #</t>
  </si>
  <si>
    <t>Lesson Date</t>
  </si>
  <si>
    <t>1대1 레슨 제목</t>
  </si>
  <si>
    <t>레슨 주제</t>
  </si>
  <si>
    <t>0203</t>
  </si>
  <si>
    <t>한글 01</t>
  </si>
  <si>
    <t>모음 기초 및 'ㅡ' 발음</t>
  </si>
  <si>
    <t>Hangul</t>
  </si>
  <si>
    <t>Introduction to Hangul</t>
  </si>
  <si>
    <t>받침 기초 7개 [ㄱㄴㄷㄹㅁㅂㅇ]</t>
  </si>
  <si>
    <t>Batchim &amp; Sound change rules</t>
  </si>
  <si>
    <t>Types of consonants</t>
  </si>
  <si>
    <t>0207</t>
  </si>
  <si>
    <t>한글 02</t>
  </si>
  <si>
    <t>0212</t>
  </si>
  <si>
    <t>한글 03</t>
  </si>
  <si>
    <t>Compound 받침</t>
  </si>
  <si>
    <t>How Korean works</t>
  </si>
  <si>
    <t>Intro</t>
  </si>
  <si>
    <t>0220</t>
  </si>
  <si>
    <t>Speech Level</t>
  </si>
  <si>
    <t>Intro to Politeness Level</t>
  </si>
  <si>
    <t>Basic Phrases</t>
  </si>
  <si>
    <t>예/아니요 사용법</t>
  </si>
  <si>
    <t>Yes &amp; No</t>
  </si>
  <si>
    <t>기본 인사말: 안녕하세요, 감사합니다, 죄송합니다, 실례합니다</t>
  </si>
  <si>
    <t>Basic Phrases - Greetings, Thank you, Sorry, Excuse me</t>
  </si>
  <si>
    <t>A is B</t>
  </si>
  <si>
    <t>이다: A는 B이다 문장 구조 및 활용</t>
  </si>
  <si>
    <t>To be 이다 VS 있다</t>
  </si>
  <si>
    <t>Pronouns</t>
  </si>
  <si>
    <t>Pronouns &amp; Possessive &amp; Plural</t>
  </si>
  <si>
    <t>5, 6</t>
  </si>
  <si>
    <t>0226</t>
  </si>
  <si>
    <t>T S D</t>
  </si>
  <si>
    <t>아니다: A는 B가 아니다 구조</t>
  </si>
  <si>
    <t>To NOT be - 아니다 - This is NOT A</t>
  </si>
  <si>
    <t>Particle</t>
  </si>
  <si>
    <t>은/는 (주제/대조) vs 이/가 (주어/강조) 심층 비교</t>
  </si>
  <si>
    <t>은는 &amp; 이가</t>
  </si>
  <si>
    <t>S O V</t>
  </si>
  <si>
    <t>SOV 어순 및 을/를 목적격 조사</t>
  </si>
  <si>
    <t>SOV Sentence Structure</t>
  </si>
  <si>
    <t>하다</t>
  </si>
  <si>
    <t>하다 동사 현재 시제 기초 (해요/해)</t>
  </si>
  <si>
    <t>좋다 vs 좋아하다: 서술형용사 vs 동작동사 구분</t>
  </si>
  <si>
    <t>0305</t>
  </si>
  <si>
    <t>은/는 vs 이/가 심화: 대조 기능 및 조사 조합별 의미 변화</t>
  </si>
  <si>
    <t>조사 생략 규칙: 문맥상 명확할 때 생략 가능</t>
  </si>
  <si>
    <t>Contractions &amp; Dropping Markers</t>
  </si>
  <si>
    <t>Sentence Type</t>
  </si>
  <si>
    <t>Questions</t>
  </si>
  <si>
    <t>Present Tense</t>
  </si>
  <si>
    <t>규칙 동사 현재 시제: 어간 모음에 따른 아/어 분지 규칙</t>
  </si>
  <si>
    <t>0310</t>
  </si>
  <si>
    <t>Honorific</t>
  </si>
  <si>
    <t>존칭어 (으)시: 어간에 붙이는 방법 및 세요/셔요 구분</t>
  </si>
  <si>
    <t>Honorific Speech</t>
  </si>
  <si>
    <t>Suggestions &amp; Commands</t>
  </si>
  <si>
    <t>0314</t>
  </si>
  <si>
    <t>Past Tense</t>
  </si>
  <si>
    <t>Past Tense Pt.1 - Conjugation</t>
  </si>
  <si>
    <t>I have something</t>
  </si>
  <si>
    <t>있다/없다: 존재(~에 있다) vs 소유(~이/가 있다) 구분</t>
  </si>
  <si>
    <t>TSV Sentence Structure #3 - To have &amp; Not have</t>
  </si>
  <si>
    <t>Time &amp; Place</t>
  </si>
  <si>
    <t>에 vs 에서: 시간/방향/상태 위치(에) vs 동작 장소/출처(에서)</t>
  </si>
  <si>
    <t>Time &amp; Place #2 - Particles</t>
  </si>
  <si>
    <t>부터 &amp; 까지: 시간/장소 범위 표현</t>
  </si>
  <si>
    <t>More meanings of 에, 에서, 부터 &amp; 까지</t>
  </si>
  <si>
    <t>0322</t>
  </si>
  <si>
    <t>Verb Negation</t>
  </si>
  <si>
    <t>Negative Sentences</t>
  </si>
  <si>
    <t>Future Tense
[ㄹ/을 거다] [ㄹ/을게] [ㄹ/을래] [겠다]</t>
  </si>
  <si>
    <t>Future Tense</t>
  </si>
  <si>
    <t>겠다: 의지/공식알림/추측/반문 4가지 용법</t>
  </si>
  <si>
    <t>겠다</t>
  </si>
  <si>
    <t>0330</t>
  </si>
  <si>
    <t>하다 동사 재정리: 해/했의 원리 및 어미 오류 교정</t>
  </si>
  <si>
    <t>Irregular Verbs</t>
  </si>
  <si>
    <t>불규칙 동사 7가지: ㅡ/ㅂ/ㄷ/ㄹ/ㅎ/ㅅ/르 불규칙</t>
  </si>
  <si>
    <t>Irregular Verbs #1</t>
  </si>
  <si>
    <t>도 (也/Even): 문장 내 위치에 따른 의미 변화</t>
  </si>
  <si>
    <t>Also &amp; Even</t>
  </si>
  <si>
    <t>만 (Only): 조사 결합 사용법</t>
  </si>
  <si>
    <t>Only</t>
  </si>
  <si>
    <t>밖에 (Nothing but): 부정 동사와만 사용</t>
  </si>
  <si>
    <t>0406</t>
  </si>
  <si>
    <t>도/만/밖에 + 다른 조사 결합: 에도/에만/에서도/한테도 등</t>
  </si>
  <si>
    <t>에게/한테/께 (to person) 및 에게서/한테서 (from person)</t>
  </si>
  <si>
    <t>To &amp; From people</t>
  </si>
  <si>
    <t>조사 결합 패턴: 에서는/에서도/에서만 등</t>
  </si>
  <si>
    <t>Progressive Tense</t>
  </si>
  <si>
    <t>I am doing - Progressive</t>
  </si>
  <si>
    <t>I want to &amp; don't want to</t>
  </si>
  <si>
    <t>Negative Commands
 - Don't do it</t>
  </si>
  <si>
    <t>~지 말다(마세요/마라): 금지 표현</t>
  </si>
  <si>
    <t>0412</t>
  </si>
  <si>
    <t>And, With, Like - 과/와, (이)랑, 하고, 같이, 함께, 처럼, 및</t>
  </si>
  <si>
    <t>Connector</t>
  </si>
  <si>
    <t>Intro to Sentence Connectors - And 고</t>
  </si>
  <si>
    <t>Past Tense Stem</t>
  </si>
  <si>
    <t>과거 시제 어간 + ㄹ/을 거다 &amp; 겠다: 했을 거다/했겠다</t>
  </si>
  <si>
    <t>Or #1</t>
  </si>
  <si>
    <t>아무__나 &amp; 아무__도: 긍정/부정 부정대명사</t>
  </si>
  <si>
    <t>~거나: or (동사 연결)</t>
  </si>
  <si>
    <t>To be necessary</t>
  </si>
  <si>
    <t>이/가 필요하다: I need something</t>
  </si>
  <si>
    <t>0416</t>
  </si>
  <si>
    <t>There's a need to</t>
  </si>
  <si>
    <t>ㄹ/을 필요(가) 있다: There is a need to do</t>
  </si>
  <si>
    <t>Can &amp; Can't</t>
  </si>
  <si>
    <t>But, However</t>
  </si>
  <si>
    <t>At the time when</t>
  </si>
  <si>
    <t>~ㄹ/을 때: at the time when</t>
  </si>
  <si>
    <t>If &amp; when</t>
  </si>
  <si>
    <t>Only if</t>
  </si>
  <si>
    <t>~아/어야 (되다/하다): only if, must, have to</t>
  </si>
  <si>
    <t>Even if</t>
  </si>
  <si>
    <t>~아/어도: even if, even though</t>
  </si>
  <si>
    <t>Even If, Even though</t>
  </si>
  <si>
    <t>It's acceptable</t>
  </si>
  <si>
    <t>0424</t>
  </si>
  <si>
    <t>Word Order (Korean Logic)</t>
  </si>
  <si>
    <t>한국어 어순 원칙: 광범위→구체적 순서 및 STLOHV 복습</t>
  </si>
  <si>
    <t>(으)로 조사 기초: 방향/수단/방법</t>
  </si>
  <si>
    <t>Time &amp; Place #3 (으)로 Pt.1 Direction</t>
  </si>
  <si>
    <t>0430</t>
  </si>
  <si>
    <t>So - 서 &amp; 가지고(갖고)</t>
  </si>
  <si>
    <t>Because - (으)니까, 기 때문에</t>
  </si>
  <si>
    <t>왜냐하면 + ~거든요: 이유 설명 도입 패턴</t>
  </si>
  <si>
    <t>서 VS 니까</t>
  </si>
  <si>
    <t>0507</t>
  </si>
  <si>
    <t>Verb → Adjective</t>
  </si>
  <si>
    <t>Describing Places</t>
  </si>
  <si>
    <t>곳 vs 데: 장소 의존명사 사용법</t>
  </si>
  <si>
    <t>Verb → Noun</t>
  </si>
  <si>
    <t>Verb → Noun #1</t>
  </si>
  <si>
    <t>More ~는/ㄴ/은 것 forms</t>
  </si>
  <si>
    <t>~는/ㄴ/은 거다 (것이다) 및 ~는 것 같다</t>
  </si>
  <si>
    <t>Expressing thought #1 - 것 같다</t>
  </si>
  <si>
    <t>More ~기 forms</t>
  </si>
  <si>
    <t>기 전/ㄴ 후, 기로 하다, 기 시작하다</t>
  </si>
  <si>
    <t>0617</t>
  </si>
  <si>
    <t>Context Markers</t>
  </si>
  <si>
    <t>Comprehensible Input 학습법: 듣기/말하기 향상 전략</t>
  </si>
  <si>
    <t>How to use this course</t>
  </si>
  <si>
    <t>Context markers #1 - Statements</t>
  </si>
  <si>
    <t>하다→되다/받다/당하다: 수동 개념 기초</t>
  </si>
  <si>
    <t>Passive Verbs #1</t>
  </si>
  <si>
    <t>~아/어하다: 감정/상태를 동작으로 표현</t>
  </si>
  <si>
    <t>~아/어 있다: 동작의 결과 상태 지속</t>
  </si>
  <si>
    <t>Compound Verb #1 - 아/어있다</t>
  </si>
  <si>
    <t>0627</t>
  </si>
  <si>
    <t>Types of Verbs</t>
  </si>
  <si>
    <t>Types of Verbs - Pt.1</t>
  </si>
  <si>
    <t>피동사: 이히리기 / 되다, 받다, 당하다 / 아/어지다</t>
  </si>
  <si>
    <t>사동사 기초 소개</t>
  </si>
  <si>
    <t>Types of Verbs Pt.2 - Causative Verbs #1</t>
  </si>
  <si>
    <t>복합동사 ~아/어하다: 감정의 외적 표현</t>
  </si>
  <si>
    <t>Self study</t>
  </si>
  <si>
    <t>아/어가다 &amp; 오다 (self study)</t>
  </si>
  <si>
    <t>아/어놓다 &amp; 두다 (self study)</t>
  </si>
  <si>
    <t>Compound Verb #4 - 아/어놓다 &amp; 두다</t>
  </si>
  <si>
    <t>0707</t>
  </si>
  <si>
    <t>아/어있다: 결과 상태 지속 (vs 고 있다)</t>
  </si>
  <si>
    <t>아/어주다: 타인을 위해 동작</t>
  </si>
  <si>
    <t>Compound Verb #2 - 아/어주다</t>
  </si>
  <si>
    <t>아/어보다: try doing / 아/어 본 적이 있다/없다</t>
  </si>
  <si>
    <t>Compound Verb #8 - 아/어보다</t>
  </si>
  <si>
    <t>아/어보이다: looks like / appears to be</t>
  </si>
  <si>
    <t>Compound Verb #9 - 아/어보이다</t>
  </si>
  <si>
    <t>아/어지다: become / change of state (passive-like)</t>
  </si>
  <si>
    <t>Compound Verb #3 - 아/어지다</t>
  </si>
  <si>
    <t>과거 시제 수식: 은/ㄴ (완료) vs 던 (과거 습관/미완) vs 았/었던 (과거 상태) 뉘앙스 구분</t>
  </si>
  <si>
    <t>Comparison - Self study</t>
  </si>
  <si>
    <t>A보다 더/덜: 비교 표현</t>
  </si>
  <si>
    <t>Comparison #1 - More, Less, Most</t>
  </si>
  <si>
    <t>만큼: as much as 동등 비교</t>
  </si>
  <si>
    <t>Comparison #2 - as much as, compared to</t>
  </si>
  <si>
    <t>0717</t>
  </si>
  <si>
    <t>While #1</t>
  </si>
  <si>
    <t>~은/ㄴ 채로: 어떤 상태를 유지한 채로</t>
  </si>
  <si>
    <t>sss</t>
  </si>
  <si>
    <t>~러: 이동 목적 (가다/오다 등 이동동사 전용)</t>
  </si>
  <si>
    <t>In Order To, So That</t>
  </si>
  <si>
    <t>~려(고): 의도/계획 + 려는/려는데/려던/려다가/려면/려니까 확장</t>
  </si>
  <si>
    <t>려 + Connectors</t>
  </si>
  <si>
    <t>~더니: 과거 경험 후 결과 (self study)</t>
  </si>
  <si>
    <t>0722</t>
  </si>
  <si>
    <t>Guessing / Assumption</t>
  </si>
  <si>
    <t>~는/은/ㄴ가 보다 &amp; ~나 보다: I guess / it seems 추측</t>
  </si>
  <si>
    <t>Expressing thought #2 - Guessing</t>
  </si>
  <si>
    <t>Know how to
Know / Think that</t>
  </si>
  <si>
    <t>~ㄹ/을 줄 알다/모르다: know how to / didn't know</t>
  </si>
  <si>
    <t>To know (knew) or thought</t>
  </si>
  <si>
    <t>So that</t>
  </si>
  <si>
    <t>So that - 게 other usages &amp; 도록</t>
  </si>
  <si>
    <t>End up</t>
  </si>
  <si>
    <t>End up doing</t>
  </si>
  <si>
    <t>~는지/은지/ㄹ지: 간접 의문문 기초 (whether/if)</t>
  </si>
  <si>
    <t>Whether / If</t>
  </si>
  <si>
    <t>0727</t>
  </si>
  <si>
    <t>~아/어버리다: 완전 완료 (완전히 끝냄/해방감/아쉬움)</t>
  </si>
  <si>
    <t>Compound Verb #7 - 아/어버리다</t>
  </si>
  <si>
    <t>The Plain Form</t>
  </si>
  <si>
    <t>평서형(한다체): 현재/과거/미래/이다 활용 및 사용 맥락</t>
  </si>
  <si>
    <t>Speech Level #3 - The Plain Form</t>
  </si>
  <si>
    <t>Intro to the Quoting Form</t>
  </si>
  <si>
    <t>인용형 도입: 간접 인용 개념 소개</t>
  </si>
  <si>
    <t>Quoting Form #1</t>
  </si>
  <si>
    <t>0806</t>
  </si>
  <si>
    <t>The Quoting Form</t>
  </si>
  <si>
    <t>줄임 인용형: 대/냬/재/래</t>
  </si>
  <si>
    <t>Quoting Form #2 - Short Quoting form</t>
  </si>
  <si>
    <t>이다/한다 인용: 이라고, 한다고 활용</t>
  </si>
  <si>
    <t>Quoting Form #3 - 이다 &amp; 한다</t>
  </si>
  <si>
    <t>청유/명령 인용: 자고/라고 + 단다/란다 패턴</t>
  </si>
  <si>
    <t>Quoting Form #4 - 단다 &amp; 란다</t>
  </si>
  <si>
    <t>0819</t>
  </si>
  <si>
    <t>~며 / ~면서: 문어체 and/while 복합 의미 + 구어 재진술 용법</t>
  </si>
  <si>
    <t>Indirect Question</t>
  </si>
  <si>
    <t>~는지/은지/ㄴ지/ㄹ지: 간접 의문문 전체 (의문사 있을때/없을때)</t>
  </si>
  <si>
    <t>~Ever</t>
  </si>
  <si>
    <t>~든지: whether~or / no matter what + 든지 vs 던지 구분</t>
  </si>
  <si>
    <t>Ever - (Whoever, Whatever, etc) &amp; Regardless</t>
  </si>
  <si>
    <t>Has been [Time]</t>
  </si>
  <si>
    <t>~ㄴ/은 지 + 시간 + 되다/넘다: It has been [time] since</t>
  </si>
  <si>
    <t>How to Practice Listening &amp; Speaking</t>
  </si>
  <si>
    <t>방학 중 자습 방법 및 리소스 안내</t>
  </si>
  <si>
    <t>비고</t>
  </si>
  <si>
    <t>TSV Sentence Structure #1 - The Rule of Three</t>
    <phoneticPr fontId="2" type="noConversion"/>
  </si>
  <si>
    <t>TSV</t>
    <phoneticPr fontId="2" type="noConversion"/>
  </si>
  <si>
    <t>TSV Sentence Structure #5 - To need</t>
    <phoneticPr fontId="2" type="noConversion"/>
  </si>
  <si>
    <t>May &amp; Must</t>
  </si>
  <si>
    <t>Bring and Take - 아/어가다 &amp; 오다</t>
    <phoneticPr fontId="2" type="noConversion"/>
  </si>
  <si>
    <t>But then - 더니</t>
    <phoneticPr fontId="2" type="noConversion"/>
  </si>
  <si>
    <t>마케팅 시 활용</t>
    <phoneticPr fontId="2" type="noConversion"/>
  </si>
  <si>
    <t>Verb 101 &amp; Present Tense Conjugation</t>
  </si>
  <si>
    <t>Particle Combinations</t>
  </si>
  <si>
    <t>Or #2</t>
    <phoneticPr fontId="2" type="noConversion"/>
  </si>
  <si>
    <t>Would have, Must have</t>
    <phoneticPr fontId="2" type="noConversion"/>
  </si>
  <si>
    <t>Any</t>
    <phoneticPr fontId="2" type="noConversion"/>
  </si>
  <si>
    <t>Modifier + noun expressions #2</t>
  </si>
  <si>
    <t>Time &amp; Place #4 - Takes time, Has been time</t>
    <phoneticPr fontId="2" type="noConversion"/>
  </si>
  <si>
    <t>Verb → Adjective #1 - Intro to Modifier (Present Tense)</t>
  </si>
  <si>
    <t>Some + noun #1</t>
  </si>
  <si>
    <t>Verb → Adjective #3 - Past Tense Modifiers</t>
  </si>
  <si>
    <t>Modifier + noun expressions #1</t>
  </si>
  <si>
    <t>Passive Verbs #2</t>
    <phoneticPr fontId="2" type="noConversion"/>
  </si>
  <si>
    <t>Before &amp; After &amp; Since</t>
    <phoneticPr fontId="2" type="noConversion"/>
  </si>
  <si>
    <t>방학 중 자습 방법 및 리소스 안내
마케팅, Worksheet, Exercise 기획 시 사용</t>
    <phoneticPr fontId="2" type="noConversion"/>
  </si>
  <si>
    <t>Ji 레벨</t>
    <phoneticPr fontId="2" type="noConversion"/>
  </si>
  <si>
    <t>Ji 레슨</t>
  </si>
  <si>
    <t>Ji 레슨 Title</t>
  </si>
  <si>
    <t>Raw 종류</t>
    <phoneticPr fontId="2" type="noConversion"/>
  </si>
  <si>
    <t>Ref_No</t>
    <phoneticPr fontId="2" type="noConversion"/>
  </si>
  <si>
    <t>STLOHV 프레임워크: 한국어 어순 구조
조사(Particles) 개념 소개
동사 어간+어미 구조 (Stem + Ending)
시제/문장유형/경어/존칭 어미 체계 개요</t>
    <phoneticPr fontId="2" type="noConversion"/>
  </si>
  <si>
    <t>경어 4가지: 비격식 높임(해요)/낮춤(해), 격식 높임(합니다)/낮춤(한다)
상황별 경어 선택 기준</t>
    <phoneticPr fontId="2" type="noConversion"/>
  </si>
  <si>
    <t>서술형용사 수식: 받침 있으면 은, 없으면 ㄴ (이다→인)
동작동사 수식: 현재 는, 과거 (으)ㄴ, 미래 (으)ㄹ
수식어 불규칙 형태: ㄹ/ㅂ/ㅎ 불규칙 수식 형태</t>
    <phoneticPr fontId="2" type="noConversion"/>
  </si>
  <si>
    <t>~고(요): 문장 접속 'and then'
~고(요): 문장 종결 용법
아니고/말고: Not A but B 표현</t>
    <phoneticPr fontId="2" type="noConversion"/>
  </si>
  <si>
    <t>현재 시제 심화: ㅓ/ㅡ/ㅣ/ㅜ 어간 결합 규칙 (어 탈락/합병)
격식체 현재 시제: ㅂ니다/습니다
4가지 문장유형 × 3가지 경어 × 존칭 = 18가지 어미 체계 정리</t>
    <phoneticPr fontId="2" type="noConversion"/>
  </si>
  <si>
    <t>I want to / I don't want to</t>
    <phoneticPr fontId="2" type="noConversion"/>
  </si>
  <si>
    <t>~고 싶다 / ~고 싶지 않다: 하고 싶다/싶지 않다
~기 싫다: 하기 싫다 (don't want to)</t>
    <phoneticPr fontId="2" type="noConversion"/>
  </si>
  <si>
    <r>
      <t xml:space="preserve">과거 시제: 았/었 규칙 및 어 탈락/합병 동일 적용
</t>
    </r>
    <r>
      <rPr>
        <b/>
        <sz val="11"/>
        <rFont val="맑은 고딕"/>
        <family val="3"/>
        <charset val="129"/>
        <scheme val="minor"/>
      </rPr>
      <t>과거 시제 격식체 및 존칭 형태</t>
    </r>
    <phoneticPr fontId="2" type="noConversion"/>
  </si>
  <si>
    <t>나/저/너 (I/You 기초)</t>
    <phoneticPr fontId="2" type="noConversion"/>
  </si>
  <si>
    <t>You in Korean</t>
    <phoneticPr fontId="2" type="noConversion"/>
  </si>
  <si>
    <t>이/그/저 &amp; 여기/거기/저기 (This/That/Here/There)</t>
    <phoneticPr fontId="2" type="noConversion"/>
  </si>
  <si>
    <t>전체 대명사 체계: 단수/복수, 격식/비격식, 존칭
소유격 의 및 축약형 (나의→내, 저의→제, 너의→네)
소유대명사: 내꺼/네꺼/제꺼 등</t>
    <phoneticPr fontId="2" type="noConversion"/>
  </si>
  <si>
    <t>의문문: 억양만으로 질문 만들기
의문사 전체: 누구/언제/어디/무엇/어느/어떻게/얼마나/왜 + 조사 결합</t>
    <phoneticPr fontId="2" type="noConversion"/>
  </si>
  <si>
    <t>안 + 동사: 순우리말 및 3음절 이하 한자어 동사 단형 부정
~지 않다: 모든 동사 가능 장형 부정</t>
    <phoneticPr fontId="2" type="noConversion"/>
  </si>
  <si>
    <t>청유형 어미: 자/시죠/ㅂ시다
명령형 어미: 어라/세요/십시오</t>
    <phoneticPr fontId="2" type="noConversion"/>
  </si>
  <si>
    <t>~네(요): 즉각적 발견/놀람 (이다 받침 민감)
~군(요)/구나: 생각 후 깨달음 (네요와 뉘앙스 구분)
~잖아(요): 상대방이 이미 아는 사실 상기 (You know~)
~거든(요): 배경 정보/이유 제공 (FYI)</t>
    <phoneticPr fontId="2" type="noConversion"/>
  </si>
  <si>
    <t>과/와, 하고, 이랑/랑: 명사 연결 'and' 상황별 사용
같이/함께: together (이랑/하고+같이/함께)
처럼/같이: like, similar to</t>
    <phoneticPr fontId="2" type="noConversion"/>
  </si>
  <si>
    <t>아니면/혹은/또는: or (문장 접속사)</t>
    <phoneticPr fontId="2" type="noConversion"/>
  </si>
  <si>
    <t>~고 있다: 진행 시제 (~ing)
~는 중이다
~는 중이다 vs 고 있다 뉘앙스 차이</t>
    <phoneticPr fontId="2" type="noConversion"/>
  </si>
  <si>
    <t>ㄹ/을 것이다(거다): 기본 미래/추측 표현
ㄹ/을게요: 약속형 (1인칭+동작동사 전용)
ㄹ/을래요: 의도형 (1/2인칭 의도 표현/질문)</t>
    <phoneticPr fontId="2" type="noConversion"/>
  </si>
  <si>
    <t>ㄹ/을 수 있다: can/be able to + 수 있다 조사 결합 뉘앙스
ㄹ/을 수 없다: cannot
못 + 동사: can't (능력/상황 부족)
~지 못하다: 장형 부정 못</t>
    <phoneticPr fontId="2" type="noConversion"/>
  </si>
  <si>
    <t>~지만: but/however
~은/는/ㄴ데: but/however/background context
~은/는/ㄴ데: 문장 종결 용법 (배경 제시)</t>
    <phoneticPr fontId="2" type="noConversion"/>
  </si>
  <si>
    <t>~(으)면: if/when 조건 표현
~(으)면 좋겠다: I wish/I hope</t>
    <phoneticPr fontId="2" type="noConversion"/>
  </si>
  <si>
    <t>~면서: 두 동작 동시 진행 (같은 주어)
~는/던 동안: during / while (시간 범위)
~다가: 동작 중단 후 다른 동작으로 전환 + 다가 보니/보면 파생</t>
    <phoneticPr fontId="2" type="noConversion"/>
  </si>
  <si>
    <t>되다: it's okay/acceptable
면/야/도 + 되다: 허가/의무/가능 표현 체계</t>
    <phoneticPr fontId="2" type="noConversion"/>
  </si>
  <si>
    <t>~아/어서: 원인/계기/순서 (가장 일상적 because), 명령/청유문 불가
~아/어 가지고(갖고): 구어적 because</t>
    <phoneticPr fontId="2" type="noConversion"/>
  </si>
  <si>
    <t>~(으)니까: 강한 개인적 이유, 명령/청유문 가능, 주어 변경 가능
~때문에 / ~기 때문에: 가장 형식적 because</t>
    <phoneticPr fontId="2" type="noConversion"/>
  </si>
  <si>
    <t>타동사 vs 자동사 구분
나다 vs 내다: 자연발생 vs 사동 동작</t>
    <phoneticPr fontId="2" type="noConversion"/>
  </si>
  <si>
    <t>Context Markers</t>
    <phoneticPr fontId="2" type="noConversion"/>
  </si>
  <si>
    <t>명사화 ~는 것: 동작/상태 일반화, 사실 표현
명사화 ~기: 추상적, 특정 표현과 결합
명사화 ~음/ㅁ: 고정된 사실, 독립 명사 형태</t>
    <phoneticPr fontId="2" type="noConversion"/>
  </si>
  <si>
    <t>~게 / ~도록: so that / in a way that
~게 하다/만들다/시키다: make/let someone do</t>
    <phoneticPr fontId="2" type="noConversion"/>
  </si>
  <si>
    <t>~게 되다: come to be / end up in a state
~고 말다: end up doing (regrettable completion) (self study)</t>
    <phoneticPr fontId="2" type="noConversion"/>
  </si>
  <si>
    <t>간접 인용: 다고/냐고/자고/라고 + 하다 구조
지/자기/본인/당신: 재귀 대명사</t>
    <phoneticPr fontId="2" type="noConversion"/>
  </si>
  <si>
    <t>ㅅ vs ㅆ 발음 구분
쌍자음 (경음/된소리)</t>
    <phoneticPr fontId="2" type="noConversion"/>
  </si>
  <si>
    <t>연음화: 받침 + ㅇ(묵음) 시 다음 음절로 이동
자음동화 개요: 장애음/비음/격음 3가지 유형
장애음+비음 결합 소리 변화 규칙 (ㄱ/ㄷ/ㅂ + ㄴ/ㄹ/ㅁ)
ㅎ 받침 격음화 규칙 (silent / aspirator / ㄷ 소리)
Palatalization 구개음화 (ㄷ/ㅌ → ㅈ/ㅊ)</t>
    <phoneticPr fontId="2" type="noConversion"/>
  </si>
  <si>
    <t>겹받침 11개 및 대표음 규칙
겹받침 + ㅇ 시 두 번째 자음 이동 규칙
겹받침 + 자음 시 자음동화 적용</t>
    <phoneticPr fontId="2" type="noConversion"/>
  </si>
  <si>
    <t>03_Amira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</si>
</sst>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4858"/>
        <bgColor rgb="FF2F4858"/>
      </patternFill>
    </fill>
    <fill>
      <patternFill patternType="solid">
        <fgColor rgb="FFFFF2CC"/>
        <bgColor rgb="FFFFF2CC"/>
      </patternFill>
    </fill>
    <fill>
      <patternFill patternType="solid">
        <fgColor rgb="FFC0392B"/>
        <bgColor rgb="FFC0392B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02DE76-20FA-4038-8836-F4B2014709F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921fe7a-24d6-45ad-94a1-c0fea8ee93e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"/>
  <sheetViews>
    <sheetView tabSelected="1" topLeftCell="B1" zoomScale="115" zoomScaleNormal="115" workbookViewId="0">
      <pane ySplit="1" topLeftCell="A2" activePane="bottomLeft" state="frozen"/>
      <selection pane="bottomLeft" activeCell="C2" sqref="C2"/>
    </sheetView>
  </sheetViews>
  <sheetFormatPr defaultRowHeight="16.5" x14ac:dyDescent="0.7"/>
  <cols>
    <col min="1" max="1" width="16.75" customWidth="1"/>
    <col min="2" max="2" width="12" customWidth="1"/>
    <col min="3" max="3" width="45" customWidth="1"/>
    <col min="4" max="4" width="9.84765625" bestFit="1" customWidth="1"/>
    <col min="5" max="5" width="10" customWidth="1"/>
    <col min="6" max="6" width="12" customWidth="1"/>
    <col min="7" max="7" width="22" customWidth="1"/>
    <col min="8" max="8" width="23.25" bestFit="1" customWidth="1"/>
    <col min="9" max="9" width="55" customWidth="1"/>
  </cols>
  <sheetData>
    <row r="1" spans="1:9" x14ac:dyDescent="0.7">
      <c r="A1" s="4" t="s">
        <v>252</v>
      </c>
      <c r="B1" s="5" t="s">
        <v>253</v>
      </c>
      <c r="C1" s="5" t="s">
        <v>254</v>
      </c>
      <c r="D1" s="5" t="s">
        <v>255</v>
      </c>
      <c r="E1" s="3" t="s">
        <v>0</v>
      </c>
      <c r="F1" s="3" t="s">
        <v>1</v>
      </c>
      <c r="G1" s="5" t="s">
        <v>256</v>
      </c>
      <c r="H1" s="3" t="s">
        <v>2</v>
      </c>
      <c r="I1" s="3" t="s">
        <v>3</v>
      </c>
    </row>
    <row r="2" spans="1:9" s="6" customFormat="1" ht="66" x14ac:dyDescent="0.7">
      <c r="A2" s="7">
        <v>1</v>
      </c>
      <c r="B2" s="7">
        <v>1</v>
      </c>
      <c r="C2" s="7" t="s">
        <v>17</v>
      </c>
      <c r="D2" s="7" t="s">
        <v>293</v>
      </c>
      <c r="E2" s="7">
        <v>3</v>
      </c>
      <c r="F2" s="7" t="s">
        <v>14</v>
      </c>
      <c r="G2" s="7" t="str">
        <f>"Amira-"&amp;A2&amp;"-"&amp;B2&amp;"-"&amp;COUNTIFS($A$2:A2,A2,$B$2:B2,B2)</f>
        <v>Amira-1-1-1</v>
      </c>
      <c r="H2" s="7" t="s">
        <v>17</v>
      </c>
      <c r="I2" s="7" t="s">
        <v>257</v>
      </c>
    </row>
    <row r="3" spans="1:9" s="6" customFormat="1" ht="49.5" x14ac:dyDescent="0.7">
      <c r="A3" s="7">
        <v>1</v>
      </c>
      <c r="B3" s="7">
        <v>2</v>
      </c>
      <c r="C3" s="7" t="s">
        <v>21</v>
      </c>
      <c r="D3" s="7" t="s">
        <v>293</v>
      </c>
      <c r="E3" s="7">
        <v>4</v>
      </c>
      <c r="F3" s="7" t="s">
        <v>19</v>
      </c>
      <c r="G3" s="7" t="str">
        <f>"Amira-"&amp;A3&amp;"-"&amp;B3&amp;"-"&amp;COUNTIFS($A$2:A3,A3,$B$2:B3,B3)</f>
        <v>Amira-1-2-1</v>
      </c>
      <c r="H3" s="7" t="s">
        <v>20</v>
      </c>
      <c r="I3" s="7" t="s">
        <v>258</v>
      </c>
    </row>
    <row r="4" spans="1:9" s="6" customFormat="1" x14ac:dyDescent="0.7">
      <c r="A4" s="7">
        <v>1</v>
      </c>
      <c r="B4" s="7">
        <v>4</v>
      </c>
      <c r="C4" s="7" t="s">
        <v>24</v>
      </c>
      <c r="D4" s="7" t="s">
        <v>293</v>
      </c>
      <c r="E4" s="7">
        <v>4</v>
      </c>
      <c r="F4" s="7" t="s">
        <v>19</v>
      </c>
      <c r="G4" s="7" t="str">
        <f>"Amira-"&amp;A4&amp;"-"&amp;B4&amp;"-"&amp;COUNTIFS($A$2:A4,A4,$B$2:B4,B4)</f>
        <v>Amira-1-4-1</v>
      </c>
      <c r="H4" s="7" t="s">
        <v>22</v>
      </c>
      <c r="I4" s="7" t="s">
        <v>23</v>
      </c>
    </row>
    <row r="5" spans="1:9" s="6" customFormat="1" x14ac:dyDescent="0.7">
      <c r="A5" s="7">
        <v>1</v>
      </c>
      <c r="B5" s="7">
        <v>5</v>
      </c>
      <c r="C5" s="7" t="s">
        <v>238</v>
      </c>
      <c r="D5" s="7" t="s">
        <v>293</v>
      </c>
      <c r="E5" s="7" t="s">
        <v>32</v>
      </c>
      <c r="F5" s="7" t="s">
        <v>33</v>
      </c>
      <c r="G5" s="7" t="str">
        <f>"Amira-"&amp;A5&amp;"-"&amp;B5&amp;"-"&amp;COUNTIFS($A$2:A5,A5,$B$2:B5,B5)</f>
        <v>Amira-1-5-1</v>
      </c>
      <c r="H5" s="7" t="s">
        <v>43</v>
      </c>
      <c r="I5" s="7" t="s">
        <v>44</v>
      </c>
    </row>
    <row r="6" spans="1:9" s="6" customFormat="1" x14ac:dyDescent="0.7">
      <c r="A6" s="7">
        <v>1</v>
      </c>
      <c r="B6" s="7">
        <v>5</v>
      </c>
      <c r="C6" s="7" t="s">
        <v>238</v>
      </c>
      <c r="D6" s="7" t="s">
        <v>293</v>
      </c>
      <c r="E6" s="7">
        <v>7</v>
      </c>
      <c r="F6" s="7" t="s">
        <v>46</v>
      </c>
      <c r="G6" s="7" t="str">
        <f>"Amira-"&amp;A6&amp;"-"&amp;B6&amp;"-"&amp;COUNTIFS($A$2:A6,A6,$B$2:B6,B6)</f>
        <v>Amira-1-5-2</v>
      </c>
      <c r="H6" s="7" t="s">
        <v>52</v>
      </c>
      <c r="I6" s="7" t="s">
        <v>53</v>
      </c>
    </row>
    <row r="7" spans="1:9" s="6" customFormat="1" ht="49.5" x14ac:dyDescent="0.7">
      <c r="A7" s="7">
        <v>1</v>
      </c>
      <c r="B7" s="7">
        <v>5</v>
      </c>
      <c r="C7" s="7" t="s">
        <v>238</v>
      </c>
      <c r="D7" s="7" t="s">
        <v>293</v>
      </c>
      <c r="E7" s="7">
        <v>8</v>
      </c>
      <c r="F7" s="7" t="s">
        <v>54</v>
      </c>
      <c r="G7" s="7" t="str">
        <f>"Amira-"&amp;A7&amp;"-"&amp;B7&amp;"-"&amp;COUNTIFS($A$2:A7,A7,$B$2:B7,B7)</f>
        <v>Amira-1-5-3</v>
      </c>
      <c r="H7" s="7" t="s">
        <v>52</v>
      </c>
      <c r="I7" s="7" t="s">
        <v>261</v>
      </c>
    </row>
    <row r="8" spans="1:9" s="6" customFormat="1" x14ac:dyDescent="0.7">
      <c r="A8" s="7">
        <v>1</v>
      </c>
      <c r="B8" s="7">
        <v>5</v>
      </c>
      <c r="C8" s="7" t="s">
        <v>238</v>
      </c>
      <c r="D8" s="7" t="s">
        <v>293</v>
      </c>
      <c r="E8" s="7">
        <v>11</v>
      </c>
      <c r="F8" s="7" t="s">
        <v>77</v>
      </c>
      <c r="G8" s="7" t="str">
        <f>"Amira-"&amp;A8&amp;"-"&amp;B8&amp;"-"&amp;COUNTIFS($A$2:A8,A8,$B$2:B8,B8)</f>
        <v>Amira-1-5-4</v>
      </c>
      <c r="H8" s="7" t="s">
        <v>43</v>
      </c>
      <c r="I8" s="7" t="s">
        <v>78</v>
      </c>
    </row>
    <row r="9" spans="1:9" s="6" customFormat="1" ht="33" x14ac:dyDescent="0.7">
      <c r="A9" s="7">
        <v>1</v>
      </c>
      <c r="B9" s="7">
        <v>6</v>
      </c>
      <c r="C9" s="7" t="s">
        <v>61</v>
      </c>
      <c r="D9" s="7" t="s">
        <v>293</v>
      </c>
      <c r="E9" s="7">
        <v>9</v>
      </c>
      <c r="F9" s="7" t="s">
        <v>59</v>
      </c>
      <c r="G9" s="7" t="str">
        <f>"Amira-"&amp;A9&amp;"-"&amp;B9&amp;"-"&amp;COUNTIFS($A$2:A9,A9,$B$2:B9,B9)</f>
        <v>Amira-1-6-1</v>
      </c>
      <c r="H9" s="7" t="s">
        <v>60</v>
      </c>
      <c r="I9" s="7" t="s">
        <v>264</v>
      </c>
    </row>
    <row r="10" spans="1:9" s="6" customFormat="1" x14ac:dyDescent="0.7">
      <c r="A10" s="7">
        <v>1</v>
      </c>
      <c r="B10" s="7">
        <v>7</v>
      </c>
      <c r="C10" s="7" t="s">
        <v>42</v>
      </c>
      <c r="D10" s="7" t="s">
        <v>293</v>
      </c>
      <c r="E10" s="7" t="s">
        <v>32</v>
      </c>
      <c r="F10" s="7" t="s">
        <v>33</v>
      </c>
      <c r="G10" s="7" t="str">
        <f>"Amira-"&amp;A10&amp;"-"&amp;B10&amp;"-"&amp;COUNTIFS($A$2:A10,A10,$B$2:B10,B10)</f>
        <v>Amira-1-7-1</v>
      </c>
      <c r="H10" s="7" t="s">
        <v>40</v>
      </c>
      <c r="I10" s="7" t="s">
        <v>41</v>
      </c>
    </row>
    <row r="11" spans="1:9" s="6" customFormat="1" ht="33" x14ac:dyDescent="0.7">
      <c r="A11" s="7">
        <v>1</v>
      </c>
      <c r="B11" s="7">
        <v>7</v>
      </c>
      <c r="C11" s="7" t="s">
        <v>42</v>
      </c>
      <c r="D11" s="7" t="s">
        <v>293</v>
      </c>
      <c r="E11" s="7">
        <v>15</v>
      </c>
      <c r="F11" s="7" t="s">
        <v>122</v>
      </c>
      <c r="G11" s="7" t="str">
        <f>"Amira-"&amp;A11&amp;"-"&amp;B11&amp;"-"&amp;COUNTIFS($A$2:A11,A11,$B$2:B11,B11)</f>
        <v>Amira-1-7-2</v>
      </c>
      <c r="H11" s="7" t="s">
        <v>123</v>
      </c>
      <c r="I11" s="7" t="s">
        <v>124</v>
      </c>
    </row>
    <row r="12" spans="1:9" s="6" customFormat="1" x14ac:dyDescent="0.7">
      <c r="A12" s="7">
        <v>1</v>
      </c>
      <c r="B12" s="7">
        <v>8</v>
      </c>
      <c r="C12" s="7" t="s">
        <v>81</v>
      </c>
      <c r="D12" s="7" t="s">
        <v>293</v>
      </c>
      <c r="E12" s="7">
        <v>11</v>
      </c>
      <c r="F12" s="7" t="s">
        <v>77</v>
      </c>
      <c r="G12" s="7" t="str">
        <f>"Amira-"&amp;A12&amp;"-"&amp;B12&amp;"-"&amp;COUNTIFS($A$2:A12,A12,$B$2:B12,B12)</f>
        <v>Amira-1-8-1</v>
      </c>
      <c r="H12" s="7" t="s">
        <v>79</v>
      </c>
      <c r="I12" s="7" t="s">
        <v>80</v>
      </c>
    </row>
    <row r="13" spans="1:9" s="6" customFormat="1" x14ac:dyDescent="0.7">
      <c r="A13" s="7">
        <v>1</v>
      </c>
      <c r="B13" s="7">
        <v>9</v>
      </c>
      <c r="C13" s="7" t="s">
        <v>57</v>
      </c>
      <c r="D13" s="7" t="s">
        <v>293</v>
      </c>
      <c r="E13" s="7">
        <v>8</v>
      </c>
      <c r="F13" s="7" t="s">
        <v>54</v>
      </c>
      <c r="G13" s="7" t="str">
        <f>"Amira-"&amp;A13&amp;"-"&amp;B13&amp;"-"&amp;COUNTIFS($A$2:A13,A13,$B$2:B13,B13)</f>
        <v>Amira-1-9-1</v>
      </c>
      <c r="H13" s="7" t="s">
        <v>55</v>
      </c>
      <c r="I13" s="7" t="s">
        <v>56</v>
      </c>
    </row>
    <row r="14" spans="1:9" s="6" customFormat="1" x14ac:dyDescent="0.7">
      <c r="A14" s="7">
        <v>1</v>
      </c>
      <c r="B14" s="7">
        <v>10</v>
      </c>
      <c r="C14" s="7" t="s">
        <v>29</v>
      </c>
      <c r="D14" s="7" t="s">
        <v>293</v>
      </c>
      <c r="E14" s="7">
        <v>4</v>
      </c>
      <c r="F14" s="7" t="s">
        <v>19</v>
      </c>
      <c r="G14" s="7" t="str">
        <f>"Amira-"&amp;A14&amp;"-"&amp;B14&amp;"-"&amp;COUNTIFS($A$2:A14,A14,$B$2:B14,B14)</f>
        <v>Amira-1-10-1</v>
      </c>
      <c r="H14" s="7" t="s">
        <v>27</v>
      </c>
      <c r="I14" s="7" t="s">
        <v>28</v>
      </c>
    </row>
    <row r="15" spans="1:9" s="6" customFormat="1" x14ac:dyDescent="0.7">
      <c r="A15" s="7">
        <v>1</v>
      </c>
      <c r="B15" s="7">
        <v>11</v>
      </c>
      <c r="C15" s="7" t="s">
        <v>36</v>
      </c>
      <c r="D15" s="7" t="s">
        <v>293</v>
      </c>
      <c r="E15" s="7" t="s">
        <v>32</v>
      </c>
      <c r="F15" s="7" t="s">
        <v>33</v>
      </c>
      <c r="G15" s="7" t="str">
        <f>"Amira-"&amp;A15&amp;"-"&amp;B15&amp;"-"&amp;COUNTIFS($A$2:A15,A15,$B$2:B15,B15)</f>
        <v>Amira-1-11-1</v>
      </c>
      <c r="H15" s="7" t="s">
        <v>34</v>
      </c>
      <c r="I15" s="7" t="s">
        <v>35</v>
      </c>
    </row>
    <row r="16" spans="1:9" s="6" customFormat="1" x14ac:dyDescent="0.7">
      <c r="A16" s="7">
        <v>1</v>
      </c>
      <c r="B16" s="7">
        <v>12</v>
      </c>
      <c r="C16" s="7" t="s">
        <v>31</v>
      </c>
      <c r="D16" s="7" t="s">
        <v>293</v>
      </c>
      <c r="E16" s="7">
        <v>4</v>
      </c>
      <c r="F16" s="7" t="s">
        <v>19</v>
      </c>
      <c r="G16" s="7" t="str">
        <f>"Amira-"&amp;A16&amp;"-"&amp;B16&amp;"-"&amp;COUNTIFS($A$2:A16,A16,$B$2:B16,B16)</f>
        <v>Amira-1-12-1</v>
      </c>
      <c r="H16" s="7" t="s">
        <v>30</v>
      </c>
      <c r="I16" s="7" t="s">
        <v>267</v>
      </c>
    </row>
    <row r="17" spans="1:9" s="6" customFormat="1" ht="49.5" x14ac:dyDescent="0.7">
      <c r="A17" s="7">
        <v>1</v>
      </c>
      <c r="B17" s="7">
        <v>12</v>
      </c>
      <c r="C17" s="7" t="s">
        <v>31</v>
      </c>
      <c r="D17" s="7" t="s">
        <v>293</v>
      </c>
      <c r="E17" s="7" t="s">
        <v>32</v>
      </c>
      <c r="F17" s="7" t="s">
        <v>33</v>
      </c>
      <c r="G17" s="7" t="str">
        <f>"Amira-"&amp;A17&amp;"-"&amp;B17&amp;"-"&amp;COUNTIFS($A$2:A17,A17,$B$2:B17,B17)</f>
        <v>Amira-1-12-2</v>
      </c>
      <c r="H17" s="7" t="s">
        <v>30</v>
      </c>
      <c r="I17" s="7" t="s">
        <v>268</v>
      </c>
    </row>
    <row r="18" spans="1:9" s="6" customFormat="1" x14ac:dyDescent="0.7">
      <c r="A18" s="7">
        <v>1</v>
      </c>
      <c r="B18" s="7">
        <v>13</v>
      </c>
      <c r="C18" s="7" t="s">
        <v>266</v>
      </c>
      <c r="D18" s="7" t="s">
        <v>293</v>
      </c>
      <c r="E18" s="7">
        <v>4</v>
      </c>
      <c r="F18" s="7" t="s">
        <v>19</v>
      </c>
      <c r="G18" s="7" t="str">
        <f>"Amira-"&amp;A18&amp;"-"&amp;B18&amp;"-"&amp;COUNTIFS($A$2:A18,A18,$B$2:B18,B18)</f>
        <v>Amira-1-13-1</v>
      </c>
      <c r="H18" s="7" t="s">
        <v>30</v>
      </c>
      <c r="I18" s="7" t="s">
        <v>265</v>
      </c>
    </row>
    <row r="19" spans="1:9" s="6" customFormat="1" ht="49.5" x14ac:dyDescent="0.7">
      <c r="A19" s="7">
        <v>1</v>
      </c>
      <c r="B19" s="7">
        <v>14</v>
      </c>
      <c r="C19" s="7" t="s">
        <v>51</v>
      </c>
      <c r="D19" s="7" t="s">
        <v>293</v>
      </c>
      <c r="E19" s="7">
        <v>7</v>
      </c>
      <c r="F19" s="7" t="s">
        <v>46</v>
      </c>
      <c r="G19" s="7" t="str">
        <f>"Amira-"&amp;A19&amp;"-"&amp;B19&amp;"-"&amp;COUNTIFS($A$2:A19,A19,$B$2:B19,B19)</f>
        <v>Amira-1-14-1</v>
      </c>
      <c r="H19" s="7" t="s">
        <v>50</v>
      </c>
      <c r="I19" s="7" t="s">
        <v>269</v>
      </c>
    </row>
    <row r="20" spans="1:9" s="6" customFormat="1" ht="33" x14ac:dyDescent="0.7">
      <c r="A20" s="7">
        <v>1</v>
      </c>
      <c r="B20" s="7">
        <v>15</v>
      </c>
      <c r="C20" s="7" t="s">
        <v>26</v>
      </c>
      <c r="D20" s="7" t="s">
        <v>293</v>
      </c>
      <c r="E20" s="7">
        <v>4</v>
      </c>
      <c r="F20" s="7" t="s">
        <v>19</v>
      </c>
      <c r="G20" s="7" t="str">
        <f>"Amira-"&amp;A20&amp;"-"&amp;B20&amp;"-"&amp;COUNTIFS($A$2:A20,A20,$B$2:B20,B20)</f>
        <v>Amira-1-15-1</v>
      </c>
      <c r="H20" s="7" t="s">
        <v>22</v>
      </c>
      <c r="I20" s="7" t="s">
        <v>25</v>
      </c>
    </row>
    <row r="21" spans="1:9" s="6" customFormat="1" ht="33" x14ac:dyDescent="0.7">
      <c r="A21" s="7">
        <v>1</v>
      </c>
      <c r="B21" s="7">
        <v>16</v>
      </c>
      <c r="C21" s="7" t="s">
        <v>72</v>
      </c>
      <c r="D21" s="7" t="s">
        <v>293</v>
      </c>
      <c r="E21" s="7">
        <v>10</v>
      </c>
      <c r="F21" s="7" t="s">
        <v>70</v>
      </c>
      <c r="G21" s="7" t="str">
        <f>"Amira-"&amp;A21&amp;"-"&amp;B21&amp;"-"&amp;COUNTIFS($A$2:A21,A21,$B$2:B21,B21)</f>
        <v>Amira-1-16-1</v>
      </c>
      <c r="H21" s="7" t="s">
        <v>71</v>
      </c>
      <c r="I21" s="7" t="s">
        <v>270</v>
      </c>
    </row>
    <row r="22" spans="1:9" s="6" customFormat="1" ht="33" x14ac:dyDescent="0.7">
      <c r="A22" s="7">
        <v>1</v>
      </c>
      <c r="B22" s="7">
        <v>17</v>
      </c>
      <c r="C22" s="7" t="s">
        <v>58</v>
      </c>
      <c r="D22" s="7" t="s">
        <v>293</v>
      </c>
      <c r="E22" s="7">
        <v>8</v>
      </c>
      <c r="F22" s="7" t="s">
        <v>54</v>
      </c>
      <c r="G22" s="7" t="str">
        <f>"Amira-"&amp;A22&amp;"-"&amp;B22&amp;"-"&amp;COUNTIFS($A$2:A22,A22,$B$2:B22,B22)</f>
        <v>Amira-1-17-1</v>
      </c>
      <c r="H22" s="7" t="s">
        <v>50</v>
      </c>
      <c r="I22" s="7" t="s">
        <v>271</v>
      </c>
    </row>
    <row r="23" spans="1:9" s="6" customFormat="1" ht="33" x14ac:dyDescent="0.7">
      <c r="A23" s="7">
        <v>1</v>
      </c>
      <c r="B23" s="7">
        <v>17</v>
      </c>
      <c r="C23" s="7" t="s">
        <v>58</v>
      </c>
      <c r="D23" s="7" t="s">
        <v>293</v>
      </c>
      <c r="E23" s="7">
        <v>12</v>
      </c>
      <c r="F23" s="7" t="s">
        <v>87</v>
      </c>
      <c r="G23" s="7" t="str">
        <f>"Amira-"&amp;A23&amp;"-"&amp;B23&amp;"-"&amp;COUNTIFS($A$2:A23,A23,$B$2:B23,B23)</f>
        <v>Amira-1-17-2</v>
      </c>
      <c r="H23" s="7" t="s">
        <v>95</v>
      </c>
      <c r="I23" s="7" t="s">
        <v>96</v>
      </c>
    </row>
    <row r="24" spans="1:9" s="6" customFormat="1" x14ac:dyDescent="0.7">
      <c r="A24" s="7">
        <v>1</v>
      </c>
      <c r="B24" s="7">
        <v>18</v>
      </c>
      <c r="C24" s="7" t="s">
        <v>207</v>
      </c>
      <c r="D24" s="7" t="s">
        <v>293</v>
      </c>
      <c r="E24" s="7">
        <v>23</v>
      </c>
      <c r="F24" s="7" t="s">
        <v>202</v>
      </c>
      <c r="G24" s="7" t="str">
        <f>"Amira-"&amp;A24&amp;"-"&amp;B24&amp;"-"&amp;COUNTIFS($A$2:A24,A24,$B$2:B24,B24)</f>
        <v>Amira-1-18-1</v>
      </c>
      <c r="H24" s="7" t="s">
        <v>205</v>
      </c>
      <c r="I24" s="7" t="s">
        <v>206</v>
      </c>
    </row>
    <row r="25" spans="1:9" s="6" customFormat="1" ht="66" x14ac:dyDescent="0.7">
      <c r="A25" s="7">
        <v>1</v>
      </c>
      <c r="B25" s="7">
        <v>19</v>
      </c>
      <c r="C25" s="7" t="s">
        <v>147</v>
      </c>
      <c r="D25" s="7" t="s">
        <v>293</v>
      </c>
      <c r="E25" s="7">
        <v>18</v>
      </c>
      <c r="F25" s="7" t="s">
        <v>143</v>
      </c>
      <c r="G25" s="7" t="str">
        <f>"Amira-"&amp;A25&amp;"-"&amp;B25&amp;"-"&amp;COUNTIFS($A$2:A25,A25,$B$2:B25,B25)</f>
        <v>Amira-1-19-1</v>
      </c>
      <c r="H25" s="7" t="s">
        <v>144</v>
      </c>
      <c r="I25" s="7" t="s">
        <v>272</v>
      </c>
    </row>
    <row r="26" spans="1:9" s="6" customFormat="1" x14ac:dyDescent="0.7">
      <c r="A26" s="7">
        <v>2</v>
      </c>
      <c r="B26" s="7">
        <v>1</v>
      </c>
      <c r="C26" s="7" t="s">
        <v>39</v>
      </c>
      <c r="D26" s="7" t="s">
        <v>293</v>
      </c>
      <c r="E26" s="7" t="s">
        <v>32</v>
      </c>
      <c r="F26" s="7" t="s">
        <v>33</v>
      </c>
      <c r="G26" s="7" t="str">
        <f>"Amira-"&amp;A26&amp;"-"&amp;B26&amp;"-"&amp;COUNTIFS($A$2:A26,A26,$B$2:B26,B26)</f>
        <v>Amira-2-1-1</v>
      </c>
      <c r="H26" s="7" t="s">
        <v>37</v>
      </c>
      <c r="I26" s="7" t="s">
        <v>38</v>
      </c>
    </row>
    <row r="27" spans="1:9" s="6" customFormat="1" x14ac:dyDescent="0.7">
      <c r="A27" s="7">
        <v>2</v>
      </c>
      <c r="B27" s="7">
        <v>1</v>
      </c>
      <c r="C27" s="7" t="s">
        <v>39</v>
      </c>
      <c r="D27" s="7" t="s">
        <v>293</v>
      </c>
      <c r="E27" s="7">
        <v>7</v>
      </c>
      <c r="F27" s="7" t="s">
        <v>46</v>
      </c>
      <c r="G27" s="7" t="str">
        <f>"Amira-"&amp;A27&amp;"-"&amp;B27&amp;"-"&amp;COUNTIFS($A$2:A27,A27,$B$2:B27,B27)</f>
        <v>Amira-2-1-2</v>
      </c>
      <c r="H27" s="7" t="s">
        <v>37</v>
      </c>
      <c r="I27" s="7" t="s">
        <v>47</v>
      </c>
    </row>
    <row r="28" spans="1:9" s="6" customFormat="1" x14ac:dyDescent="0.7">
      <c r="A28" s="7">
        <v>2</v>
      </c>
      <c r="B28" s="7">
        <v>2</v>
      </c>
      <c r="C28" s="7" t="s">
        <v>231</v>
      </c>
      <c r="D28" s="7" t="s">
        <v>293</v>
      </c>
      <c r="E28" s="7" t="s">
        <v>32</v>
      </c>
      <c r="F28" s="7" t="s">
        <v>33</v>
      </c>
      <c r="G28" s="7" t="str">
        <f>"Amira-"&amp;A28&amp;"-"&amp;B28&amp;"-"&amp;COUNTIFS($A$2:A28,A28,$B$2:B28,B28)</f>
        <v>Amira-2-2-1</v>
      </c>
      <c r="H28" s="7" t="s">
        <v>232</v>
      </c>
      <c r="I28" s="7" t="s">
        <v>45</v>
      </c>
    </row>
    <row r="29" spans="1:9" s="6" customFormat="1" x14ac:dyDescent="0.7">
      <c r="A29" s="7">
        <v>2</v>
      </c>
      <c r="B29" s="7">
        <v>2</v>
      </c>
      <c r="C29" s="7" t="s">
        <v>231</v>
      </c>
      <c r="D29" s="7" t="s">
        <v>293</v>
      </c>
      <c r="E29" s="7">
        <v>18</v>
      </c>
      <c r="F29" s="7" t="s">
        <v>143</v>
      </c>
      <c r="G29" s="7" t="str">
        <f>"Amira-"&amp;A29&amp;"-"&amp;B29&amp;"-"&amp;COUNTIFS($A$2:A29,A29,$B$2:B29,B29)</f>
        <v>Amira-2-2-2</v>
      </c>
      <c r="H29" s="7" t="s">
        <v>144</v>
      </c>
      <c r="I29" s="7" t="s">
        <v>150</v>
      </c>
    </row>
    <row r="30" spans="1:9" s="6" customFormat="1" x14ac:dyDescent="0.7">
      <c r="A30" s="7">
        <v>2</v>
      </c>
      <c r="B30" s="7">
        <v>2</v>
      </c>
      <c r="C30" s="7" t="s">
        <v>231</v>
      </c>
      <c r="D30" s="7" t="s">
        <v>293</v>
      </c>
      <c r="E30" s="7">
        <v>19</v>
      </c>
      <c r="F30" s="7" t="s">
        <v>153</v>
      </c>
      <c r="G30" s="7" t="str">
        <f>"Amira-"&amp;A30&amp;"-"&amp;B30&amp;"-"&amp;COUNTIFS($A$2:A30,A30,$B$2:B30,B30)</f>
        <v>Amira-2-2-3</v>
      </c>
      <c r="H30" s="7" t="s">
        <v>154</v>
      </c>
      <c r="I30" s="7" t="s">
        <v>159</v>
      </c>
    </row>
    <row r="31" spans="1:9" s="6" customFormat="1" x14ac:dyDescent="0.7">
      <c r="A31" s="7">
        <v>2</v>
      </c>
      <c r="B31" s="7">
        <v>4</v>
      </c>
      <c r="C31" s="7" t="s">
        <v>64</v>
      </c>
      <c r="D31" s="7" t="s">
        <v>293</v>
      </c>
      <c r="E31" s="7">
        <v>9</v>
      </c>
      <c r="F31" s="7" t="s">
        <v>59</v>
      </c>
      <c r="G31" s="7" t="str">
        <f>"Amira-"&amp;A31&amp;"-"&amp;B31&amp;"-"&amp;COUNTIFS($A$2:A31,A31,$B$2:B31,B31)</f>
        <v>Amira-2-4-1</v>
      </c>
      <c r="H31" s="7" t="s">
        <v>62</v>
      </c>
      <c r="I31" s="7" t="s">
        <v>63</v>
      </c>
    </row>
    <row r="32" spans="1:9" s="6" customFormat="1" x14ac:dyDescent="0.7">
      <c r="A32" s="7">
        <v>2</v>
      </c>
      <c r="B32" s="7">
        <v>6</v>
      </c>
      <c r="C32" s="7" t="s">
        <v>233</v>
      </c>
      <c r="D32" s="7" t="s">
        <v>293</v>
      </c>
      <c r="E32" s="7">
        <v>13</v>
      </c>
      <c r="F32" s="7" t="s">
        <v>97</v>
      </c>
      <c r="G32" s="7" t="str">
        <f>"Amira-"&amp;A32&amp;"-"&amp;B32&amp;"-"&amp;COUNTIFS($A$2:A32,A32,$B$2:B32,B32)</f>
        <v>Amira-2-6-1</v>
      </c>
      <c r="H32" s="7" t="s">
        <v>106</v>
      </c>
      <c r="I32" s="7" t="s">
        <v>107</v>
      </c>
    </row>
    <row r="33" spans="1:9" s="6" customFormat="1" x14ac:dyDescent="0.7">
      <c r="A33" s="7">
        <v>2</v>
      </c>
      <c r="B33" s="7">
        <v>8</v>
      </c>
      <c r="C33" s="7" t="s">
        <v>49</v>
      </c>
      <c r="D33" s="7" t="s">
        <v>293</v>
      </c>
      <c r="E33" s="7">
        <v>7</v>
      </c>
      <c r="F33" s="7" t="s">
        <v>46</v>
      </c>
      <c r="G33" s="7" t="str">
        <f>"Amira-"&amp;A33&amp;"-"&amp;B33&amp;"-"&amp;COUNTIFS($A$2:A33,A33,$B$2:B33,B33)</f>
        <v>Amira-2-8-1</v>
      </c>
      <c r="H33" s="7" t="s">
        <v>37</v>
      </c>
      <c r="I33" s="7" t="s">
        <v>48</v>
      </c>
    </row>
    <row r="34" spans="1:9" s="6" customFormat="1" x14ac:dyDescent="0.7">
      <c r="A34" s="7">
        <v>2</v>
      </c>
      <c r="B34" s="7">
        <v>9</v>
      </c>
      <c r="C34" s="7" t="s">
        <v>83</v>
      </c>
      <c r="D34" s="7" t="s">
        <v>293</v>
      </c>
      <c r="E34" s="7">
        <v>11</v>
      </c>
      <c r="F34" s="7" t="s">
        <v>77</v>
      </c>
      <c r="G34" s="7" t="str">
        <f>"Amira-"&amp;A34&amp;"-"&amp;B34&amp;"-"&amp;COUNTIFS($A$2:A34,A34,$B$2:B34,B34)</f>
        <v>Amira-2-9-1</v>
      </c>
      <c r="H34" s="7" t="s">
        <v>37</v>
      </c>
      <c r="I34" s="7" t="s">
        <v>82</v>
      </c>
    </row>
    <row r="35" spans="1:9" s="6" customFormat="1" x14ac:dyDescent="0.7">
      <c r="A35" s="7">
        <v>2</v>
      </c>
      <c r="B35" s="7">
        <v>9</v>
      </c>
      <c r="C35" s="7" t="s">
        <v>83</v>
      </c>
      <c r="D35" s="7" t="s">
        <v>293</v>
      </c>
      <c r="E35" s="7">
        <v>12</v>
      </c>
      <c r="F35" s="7" t="s">
        <v>87</v>
      </c>
      <c r="G35" s="7" t="str">
        <f>"Amira-"&amp;A35&amp;"-"&amp;B35&amp;"-"&amp;COUNTIFS($A$2:A35,A35,$B$2:B35,B35)</f>
        <v>Amira-2-9-2</v>
      </c>
      <c r="H35" s="7" t="s">
        <v>37</v>
      </c>
      <c r="I35" s="7" t="s">
        <v>88</v>
      </c>
    </row>
    <row r="36" spans="1:9" s="6" customFormat="1" x14ac:dyDescent="0.7">
      <c r="A36" s="7">
        <v>2</v>
      </c>
      <c r="B36" s="7">
        <v>10</v>
      </c>
      <c r="C36" s="7" t="s">
        <v>85</v>
      </c>
      <c r="D36" s="7" t="s">
        <v>293</v>
      </c>
      <c r="E36" s="7">
        <v>11</v>
      </c>
      <c r="F36" s="7" t="s">
        <v>77</v>
      </c>
      <c r="G36" s="7" t="str">
        <f>"Amira-"&amp;A36&amp;"-"&amp;B36&amp;"-"&amp;COUNTIFS($A$2:A36,A36,$B$2:B36,B36)</f>
        <v>Amira-2-10-1</v>
      </c>
      <c r="H36" s="7" t="s">
        <v>37</v>
      </c>
      <c r="I36" s="7" t="s">
        <v>84</v>
      </c>
    </row>
    <row r="37" spans="1:9" s="6" customFormat="1" x14ac:dyDescent="0.7">
      <c r="A37" s="7">
        <v>2</v>
      </c>
      <c r="B37" s="7">
        <v>10</v>
      </c>
      <c r="C37" s="7" t="s">
        <v>85</v>
      </c>
      <c r="D37" s="7" t="s">
        <v>293</v>
      </c>
      <c r="E37" s="7">
        <v>11</v>
      </c>
      <c r="F37" s="7" t="s">
        <v>77</v>
      </c>
      <c r="G37" s="7" t="str">
        <f>"Amira-"&amp;A37&amp;"-"&amp;B37&amp;"-"&amp;COUNTIFS($A$2:A37,A37,$B$2:B37,B37)</f>
        <v>Amira-2-10-2</v>
      </c>
      <c r="H37" s="7" t="s">
        <v>37</v>
      </c>
      <c r="I37" s="7" t="s">
        <v>86</v>
      </c>
    </row>
    <row r="38" spans="1:9" s="6" customFormat="1" x14ac:dyDescent="0.7">
      <c r="A38" s="7">
        <v>3</v>
      </c>
      <c r="B38" s="7">
        <v>2</v>
      </c>
      <c r="C38" s="7" t="s">
        <v>67</v>
      </c>
      <c r="D38" s="7" t="s">
        <v>293</v>
      </c>
      <c r="E38" s="7">
        <v>9</v>
      </c>
      <c r="F38" s="7" t="s">
        <v>59</v>
      </c>
      <c r="G38" s="7" t="str">
        <f>"Amira-"&amp;A38&amp;"-"&amp;B38&amp;"-"&amp;COUNTIFS($A$2:A38,A38,$B$2:B38,B38)</f>
        <v>Amira-3-2-1</v>
      </c>
      <c r="H38" s="7" t="s">
        <v>65</v>
      </c>
      <c r="I38" s="7" t="s">
        <v>66</v>
      </c>
    </row>
    <row r="39" spans="1:9" s="6" customFormat="1" x14ac:dyDescent="0.7">
      <c r="A39" s="7">
        <v>3</v>
      </c>
      <c r="B39" s="7">
        <v>3</v>
      </c>
      <c r="C39" s="7" t="s">
        <v>69</v>
      </c>
      <c r="D39" s="7" t="s">
        <v>293</v>
      </c>
      <c r="E39" s="7">
        <v>9</v>
      </c>
      <c r="F39" s="7" t="s">
        <v>59</v>
      </c>
      <c r="G39" s="7" t="str">
        <f>"Amira-"&amp;A39&amp;"-"&amp;B39&amp;"-"&amp;COUNTIFS($A$2:A39,A39,$B$2:B39,B39)</f>
        <v>Amira-3-3-1</v>
      </c>
      <c r="H39" s="7" t="s">
        <v>65</v>
      </c>
      <c r="I39" s="7" t="s">
        <v>68</v>
      </c>
    </row>
    <row r="40" spans="1:9" s="6" customFormat="1" ht="33" x14ac:dyDescent="0.7">
      <c r="A40" s="7">
        <v>3</v>
      </c>
      <c r="B40" s="7">
        <v>5</v>
      </c>
      <c r="C40" s="7" t="s">
        <v>126</v>
      </c>
      <c r="D40" s="7" t="s">
        <v>293</v>
      </c>
      <c r="E40" s="7">
        <v>15</v>
      </c>
      <c r="F40" s="7" t="s">
        <v>122</v>
      </c>
      <c r="G40" s="7" t="str">
        <f>"Amira-"&amp;A40&amp;"-"&amp;B40&amp;"-"&amp;COUNTIFS($A$2:A40,A40,$B$2:B40,B40)</f>
        <v>Amira-3-5-1</v>
      </c>
      <c r="H40" s="7" t="s">
        <v>123</v>
      </c>
      <c r="I40" s="7" t="s">
        <v>125</v>
      </c>
    </row>
    <row r="41" spans="1:9" s="6" customFormat="1" x14ac:dyDescent="0.7">
      <c r="A41" s="7">
        <v>3</v>
      </c>
      <c r="B41" s="7">
        <v>9</v>
      </c>
      <c r="C41" s="7" t="s">
        <v>235</v>
      </c>
      <c r="D41" s="7" t="s">
        <v>293</v>
      </c>
      <c r="E41" s="7">
        <v>19</v>
      </c>
      <c r="F41" s="7" t="s">
        <v>153</v>
      </c>
      <c r="G41" s="7" t="str">
        <f>"Amira-"&amp;A41&amp;"-"&amp;B41&amp;"-"&amp;COUNTIFS($A$2:A41,A41,$B$2:B41,B41)</f>
        <v>Amira-3-9-1</v>
      </c>
      <c r="H41" s="7" t="s">
        <v>160</v>
      </c>
      <c r="I41" s="7" t="s">
        <v>161</v>
      </c>
    </row>
    <row r="42" spans="1:9" s="6" customFormat="1" x14ac:dyDescent="0.7">
      <c r="A42" s="7">
        <v>3</v>
      </c>
      <c r="B42" s="7">
        <v>10</v>
      </c>
      <c r="C42" s="7" t="s">
        <v>90</v>
      </c>
      <c r="D42" s="7" t="s">
        <v>293</v>
      </c>
      <c r="E42" s="7">
        <v>12</v>
      </c>
      <c r="F42" s="7" t="s">
        <v>87</v>
      </c>
      <c r="G42" s="7" t="str">
        <f>"Amira-"&amp;A42&amp;"-"&amp;B42&amp;"-"&amp;COUNTIFS($A$2:A42,A42,$B$2:B42,B42)</f>
        <v>Amira-3-10-1</v>
      </c>
      <c r="H42" s="7" t="s">
        <v>37</v>
      </c>
      <c r="I42" s="7" t="s">
        <v>89</v>
      </c>
    </row>
    <row r="43" spans="1:9" s="6" customFormat="1" ht="49.5" x14ac:dyDescent="0.7">
      <c r="A43" s="7">
        <v>3</v>
      </c>
      <c r="B43" s="7">
        <v>11</v>
      </c>
      <c r="C43" s="7" t="s">
        <v>98</v>
      </c>
      <c r="D43" s="7" t="s">
        <v>293</v>
      </c>
      <c r="E43" s="7">
        <v>13</v>
      </c>
      <c r="F43" s="7" t="s">
        <v>97</v>
      </c>
      <c r="G43" s="7" t="str">
        <f>"Amira-"&amp;A43&amp;"-"&amp;B43&amp;"-"&amp;COUNTIFS($A$2:A43,A43,$B$2:B43,B43)</f>
        <v>Amira-3-11-1</v>
      </c>
      <c r="H43" s="7" t="s">
        <v>37</v>
      </c>
      <c r="I43" s="7" t="s">
        <v>273</v>
      </c>
    </row>
    <row r="44" spans="1:9" s="6" customFormat="1" x14ac:dyDescent="0.7">
      <c r="A44" s="7">
        <v>3</v>
      </c>
      <c r="B44" s="7">
        <v>12</v>
      </c>
      <c r="C44" s="7" t="s">
        <v>103</v>
      </c>
      <c r="D44" s="7" t="s">
        <v>293</v>
      </c>
      <c r="E44" s="7">
        <v>13</v>
      </c>
      <c r="F44" s="7" t="s">
        <v>97</v>
      </c>
      <c r="G44" s="7" t="str">
        <f>"Amira-"&amp;A44&amp;"-"&amp;B44&amp;"-"&amp;COUNTIFS($A$2:A44,A44,$B$2:B44,B44)</f>
        <v>Amira-3-12-1</v>
      </c>
      <c r="H44" s="7" t="s">
        <v>37</v>
      </c>
      <c r="I44" s="7" t="s">
        <v>274</v>
      </c>
    </row>
    <row r="45" spans="1:9" s="6" customFormat="1" x14ac:dyDescent="0.7">
      <c r="A45" s="7">
        <v>3</v>
      </c>
      <c r="B45" s="7">
        <v>14</v>
      </c>
      <c r="C45" s="7" t="s">
        <v>239</v>
      </c>
      <c r="D45" s="7" t="s">
        <v>293</v>
      </c>
      <c r="E45" s="7">
        <v>12</v>
      </c>
      <c r="F45" s="7" t="s">
        <v>87</v>
      </c>
      <c r="G45" s="7" t="str">
        <f>"Amira-"&amp;A45&amp;"-"&amp;B45&amp;"-"&amp;COUNTIFS($A$2:A45,A45,$B$2:B45,B45)</f>
        <v>Amira-3-14-1</v>
      </c>
      <c r="H45" s="7" t="s">
        <v>37</v>
      </c>
      <c r="I45" s="7" t="s">
        <v>91</v>
      </c>
    </row>
    <row r="46" spans="1:9" s="6" customFormat="1" ht="49.5" x14ac:dyDescent="0.7">
      <c r="A46" s="7">
        <v>4</v>
      </c>
      <c r="B46" s="7">
        <v>2</v>
      </c>
      <c r="C46" s="7" t="s">
        <v>93</v>
      </c>
      <c r="D46" s="7" t="s">
        <v>293</v>
      </c>
      <c r="E46" s="7">
        <v>12</v>
      </c>
      <c r="F46" s="7" t="s">
        <v>87</v>
      </c>
      <c r="G46" s="7" t="str">
        <f>"Amira-"&amp;A46&amp;"-"&amp;B46&amp;"-"&amp;COUNTIFS($A$2:A46,A46,$B$2:B46,B46)</f>
        <v>Amira-4-2-1</v>
      </c>
      <c r="H46" s="7" t="s">
        <v>92</v>
      </c>
      <c r="I46" s="7" t="s">
        <v>275</v>
      </c>
    </row>
    <row r="47" spans="1:9" s="6" customFormat="1" ht="33" x14ac:dyDescent="0.7">
      <c r="A47" s="7">
        <v>4</v>
      </c>
      <c r="B47" s="7">
        <v>3</v>
      </c>
      <c r="C47" s="7" t="s">
        <v>94</v>
      </c>
      <c r="D47" s="7" t="s">
        <v>293</v>
      </c>
      <c r="E47" s="7">
        <v>12</v>
      </c>
      <c r="F47" s="7" t="s">
        <v>87</v>
      </c>
      <c r="G47" s="7" t="str">
        <f>"Amira-"&amp;A47&amp;"-"&amp;B47&amp;"-"&amp;COUNTIFS($A$2:A47,A47,$B$2:B47,B47)</f>
        <v>Amira-4-3-1</v>
      </c>
      <c r="H47" s="7" t="s">
        <v>262</v>
      </c>
      <c r="I47" s="7" t="s">
        <v>263</v>
      </c>
    </row>
    <row r="48" spans="1:9" s="6" customFormat="1" ht="49.5" x14ac:dyDescent="0.7">
      <c r="A48" s="7">
        <v>4</v>
      </c>
      <c r="B48" s="7">
        <v>4</v>
      </c>
      <c r="C48" s="7" t="s">
        <v>74</v>
      </c>
      <c r="D48" s="7" t="s">
        <v>293</v>
      </c>
      <c r="E48" s="7">
        <v>10</v>
      </c>
      <c r="F48" s="7" t="s">
        <v>70</v>
      </c>
      <c r="G48" s="7" t="str">
        <f>"Amira-"&amp;A48&amp;"-"&amp;B48&amp;"-"&amp;COUNTIFS($A$2:A48,A48,$B$2:B48,B48)</f>
        <v>Amira-4-4-1</v>
      </c>
      <c r="H48" s="7" t="s">
        <v>73</v>
      </c>
      <c r="I48" s="7" t="s">
        <v>276</v>
      </c>
    </row>
    <row r="49" spans="1:9" s="6" customFormat="1" ht="49.5" x14ac:dyDescent="0.7">
      <c r="A49" s="7">
        <v>4</v>
      </c>
      <c r="B49" s="7">
        <v>5</v>
      </c>
      <c r="C49" s="7" t="s">
        <v>76</v>
      </c>
      <c r="D49" s="7" t="s">
        <v>293</v>
      </c>
      <c r="E49" s="7">
        <v>10</v>
      </c>
      <c r="F49" s="7" t="s">
        <v>70</v>
      </c>
      <c r="G49" s="7" t="str">
        <f>"Amira-"&amp;A49&amp;"-"&amp;B49&amp;"-"&amp;COUNTIFS($A$2:A49,A49,$B$2:B49,B49)</f>
        <v>Amira-4-5-1</v>
      </c>
      <c r="H49" s="7" t="s">
        <v>73</v>
      </c>
      <c r="I49" s="7" t="s">
        <v>75</v>
      </c>
    </row>
    <row r="50" spans="1:9" s="6" customFormat="1" x14ac:dyDescent="0.7">
      <c r="A50" s="7">
        <v>4</v>
      </c>
      <c r="B50" s="7">
        <v>6</v>
      </c>
      <c r="C50" s="7" t="s">
        <v>241</v>
      </c>
      <c r="D50" s="7" t="s">
        <v>293</v>
      </c>
      <c r="E50" s="7">
        <v>13</v>
      </c>
      <c r="F50" s="7" t="s">
        <v>97</v>
      </c>
      <c r="G50" s="7" t="str">
        <f>"Amira-"&amp;A50&amp;"-"&amp;B50&amp;"-"&amp;COUNTIFS($A$2:A50,A50,$B$2:B50,B50)</f>
        <v>Amira-4-6-1</v>
      </c>
      <c r="H50" s="7" t="s">
        <v>101</v>
      </c>
      <c r="I50" s="7" t="s">
        <v>102</v>
      </c>
    </row>
    <row r="51" spans="1:9" s="6" customFormat="1" ht="66" x14ac:dyDescent="0.7">
      <c r="A51" s="7">
        <v>4</v>
      </c>
      <c r="B51" s="7">
        <v>8</v>
      </c>
      <c r="C51" s="7" t="s">
        <v>111</v>
      </c>
      <c r="D51" s="7" t="s">
        <v>293</v>
      </c>
      <c r="E51" s="7">
        <v>14</v>
      </c>
      <c r="F51" s="7" t="s">
        <v>108</v>
      </c>
      <c r="G51" s="7" t="str">
        <f>"Amira-"&amp;A51&amp;"-"&amp;B51&amp;"-"&amp;COUNTIFS($A$2:A51,A51,$B$2:B51,B51)</f>
        <v>Amira-4-8-1</v>
      </c>
      <c r="H51" s="7" t="s">
        <v>111</v>
      </c>
      <c r="I51" s="7" t="s">
        <v>277</v>
      </c>
    </row>
    <row r="52" spans="1:9" s="6" customFormat="1" ht="33" x14ac:dyDescent="0.7">
      <c r="A52" s="7">
        <v>4</v>
      </c>
      <c r="B52" s="7">
        <v>13</v>
      </c>
      <c r="C52" s="7" t="s">
        <v>195</v>
      </c>
      <c r="D52" s="7" t="s">
        <v>293</v>
      </c>
      <c r="E52" s="7">
        <v>22</v>
      </c>
      <c r="F52" s="7" t="s">
        <v>189</v>
      </c>
      <c r="G52" s="7" t="str">
        <f>"Amira-"&amp;A52&amp;"-"&amp;B52&amp;"-"&amp;COUNTIFS($A$2:A52,A52,$B$2:B52,B52)</f>
        <v>Amira-4-13-1</v>
      </c>
      <c r="H52" s="7" t="s">
        <v>193</v>
      </c>
      <c r="I52" s="7" t="s">
        <v>194</v>
      </c>
    </row>
    <row r="53" spans="1:9" s="6" customFormat="1" ht="33" x14ac:dyDescent="0.7">
      <c r="A53" s="7">
        <v>5</v>
      </c>
      <c r="B53" s="7">
        <v>3</v>
      </c>
      <c r="C53" s="7" t="s">
        <v>247</v>
      </c>
      <c r="D53" s="7" t="s">
        <v>293</v>
      </c>
      <c r="E53" s="7">
        <v>20</v>
      </c>
      <c r="F53" s="7" t="s">
        <v>164</v>
      </c>
      <c r="G53" s="7" t="str">
        <f>"Amira-"&amp;A53&amp;"-"&amp;B53&amp;"-"&amp;COUNTIFS($A$2:A53,A53,$B$2:B53,B53)</f>
        <v>Amira-5-3-1</v>
      </c>
      <c r="H53" s="7" t="s">
        <v>133</v>
      </c>
      <c r="I53" s="7" t="s">
        <v>174</v>
      </c>
    </row>
    <row r="54" spans="1:9" s="6" customFormat="1" x14ac:dyDescent="0.7">
      <c r="A54" s="7">
        <v>5</v>
      </c>
      <c r="B54" s="7">
        <v>8</v>
      </c>
      <c r="C54" s="7" t="s">
        <v>177</v>
      </c>
      <c r="D54" s="7" t="s">
        <v>293</v>
      </c>
      <c r="E54" s="7">
        <v>20</v>
      </c>
      <c r="F54" s="7" t="s">
        <v>164</v>
      </c>
      <c r="G54" s="7" t="str">
        <f>"Amira-"&amp;A54&amp;"-"&amp;B54&amp;"-"&amp;COUNTIFS($A$2:A54,A54,$B$2:B54,B54)</f>
        <v>Amira-5-8-1</v>
      </c>
      <c r="H54" s="7" t="s">
        <v>175</v>
      </c>
      <c r="I54" s="7" t="s">
        <v>176</v>
      </c>
    </row>
    <row r="55" spans="1:9" s="6" customFormat="1" x14ac:dyDescent="0.7">
      <c r="A55" s="7">
        <v>5</v>
      </c>
      <c r="B55" s="7">
        <v>11</v>
      </c>
      <c r="C55" s="7" t="s">
        <v>246</v>
      </c>
      <c r="D55" s="7" t="s">
        <v>293</v>
      </c>
      <c r="E55" s="7">
        <v>17</v>
      </c>
      <c r="F55" s="7" t="s">
        <v>132</v>
      </c>
      <c r="G55" s="7" t="str">
        <f>"Amira-"&amp;A55&amp;"-"&amp;B55&amp;"-"&amp;COUNTIFS($A$2:A55,A55,$B$2:B55,B55)</f>
        <v>Amira-5-11-1</v>
      </c>
      <c r="H55" s="7" t="s">
        <v>134</v>
      </c>
      <c r="I55" s="7" t="s">
        <v>135</v>
      </c>
    </row>
    <row r="56" spans="1:9" s="6" customFormat="1" x14ac:dyDescent="0.7">
      <c r="A56" s="7">
        <v>5</v>
      </c>
      <c r="B56" s="7">
        <v>12</v>
      </c>
      <c r="C56" s="7" t="s">
        <v>242</v>
      </c>
      <c r="D56" s="7" t="s">
        <v>293</v>
      </c>
      <c r="E56" s="7">
        <v>13</v>
      </c>
      <c r="F56" s="7" t="s">
        <v>97</v>
      </c>
      <c r="G56" s="7" t="str">
        <f>"Amira-"&amp;A56&amp;"-"&amp;B56&amp;"-"&amp;COUNTIFS($A$2:A56,A56,$B$2:B56,B56)</f>
        <v>Amira-5-12-1</v>
      </c>
      <c r="H56" s="7" t="s">
        <v>37</v>
      </c>
      <c r="I56" s="7" t="s">
        <v>104</v>
      </c>
    </row>
    <row r="57" spans="1:9" s="6" customFormat="1" ht="49.5" x14ac:dyDescent="0.7">
      <c r="A57" s="7">
        <v>6</v>
      </c>
      <c r="B57" s="7">
        <v>1</v>
      </c>
      <c r="C57" s="7" t="s">
        <v>245</v>
      </c>
      <c r="D57" s="7" t="s">
        <v>293</v>
      </c>
      <c r="E57" s="7">
        <v>17</v>
      </c>
      <c r="F57" s="7" t="s">
        <v>132</v>
      </c>
      <c r="G57" s="7" t="str">
        <f>"Amira-"&amp;A57&amp;"-"&amp;B57&amp;"-"&amp;COUNTIFS($A$2:A57,A57,$B$2:B57,B57)</f>
        <v>Amira-6-1-1</v>
      </c>
      <c r="H57" s="7" t="s">
        <v>133</v>
      </c>
      <c r="I57" s="7" t="s">
        <v>259</v>
      </c>
    </row>
    <row r="58" spans="1:9" s="6" customFormat="1" x14ac:dyDescent="0.7">
      <c r="A58" s="7">
        <v>6</v>
      </c>
      <c r="B58" s="7">
        <v>4</v>
      </c>
      <c r="C58" s="7" t="s">
        <v>140</v>
      </c>
      <c r="D58" s="7" t="s">
        <v>293</v>
      </c>
      <c r="E58" s="7">
        <v>17</v>
      </c>
      <c r="F58" s="7" t="s">
        <v>132</v>
      </c>
      <c r="G58" s="7" t="str">
        <f>"Amira-"&amp;A58&amp;"-"&amp;B58&amp;"-"&amp;COUNTIFS($A$2:A58,A58,$B$2:B58,B58)</f>
        <v>Amira-6-4-1</v>
      </c>
      <c r="H58" s="7" t="s">
        <v>138</v>
      </c>
      <c r="I58" s="7" t="s">
        <v>139</v>
      </c>
    </row>
    <row r="59" spans="1:9" s="6" customFormat="1" x14ac:dyDescent="0.7">
      <c r="A59" s="7">
        <v>6</v>
      </c>
      <c r="B59" s="7">
        <v>5</v>
      </c>
      <c r="C59" s="7" t="s">
        <v>163</v>
      </c>
      <c r="D59" s="7" t="s">
        <v>293</v>
      </c>
      <c r="E59" s="7">
        <v>19</v>
      </c>
      <c r="F59" s="7" t="s">
        <v>153</v>
      </c>
      <c r="G59" s="7" t="str">
        <f>"Amira-"&amp;A59&amp;"-"&amp;B59&amp;"-"&amp;COUNTIFS($A$2:A59,A59,$B$2:B59,B59)</f>
        <v>Amira-6-5-1</v>
      </c>
      <c r="H59" s="7" t="s">
        <v>160</v>
      </c>
      <c r="I59" s="7" t="s">
        <v>162</v>
      </c>
    </row>
    <row r="60" spans="1:9" s="6" customFormat="1" x14ac:dyDescent="0.7">
      <c r="A60" s="7">
        <v>6</v>
      </c>
      <c r="B60" s="7">
        <v>5</v>
      </c>
      <c r="C60" s="7" t="s">
        <v>192</v>
      </c>
      <c r="D60" s="7" t="s">
        <v>293</v>
      </c>
      <c r="E60" s="7">
        <v>22</v>
      </c>
      <c r="F60" s="7" t="s">
        <v>189</v>
      </c>
      <c r="G60" s="7" t="str">
        <f>"Amira-"&amp;A60&amp;"-"&amp;B60&amp;"-"&amp;COUNTIFS($A$2:A60,A60,$B$2:B60,B60)</f>
        <v>Amira-6-5-2</v>
      </c>
      <c r="H60" s="7" t="s">
        <v>190</v>
      </c>
      <c r="I60" s="7" t="s">
        <v>191</v>
      </c>
    </row>
    <row r="61" spans="1:9" s="6" customFormat="1" x14ac:dyDescent="0.7">
      <c r="A61" s="7">
        <v>6</v>
      </c>
      <c r="B61" s="7">
        <v>8</v>
      </c>
      <c r="C61" s="7" t="s">
        <v>248</v>
      </c>
      <c r="D61" s="7" t="s">
        <v>293</v>
      </c>
      <c r="E61" s="7">
        <v>21</v>
      </c>
      <c r="F61" s="7" t="s">
        <v>180</v>
      </c>
      <c r="G61" s="7" t="str">
        <f>"Amira-"&amp;A61&amp;"-"&amp;B61&amp;"-"&amp;COUNTIFS($A$2:A61,A61,$B$2:B61,B61)</f>
        <v>Amira-6-8-1</v>
      </c>
      <c r="H61" s="7" t="s">
        <v>99</v>
      </c>
      <c r="I61" s="7" t="s">
        <v>182</v>
      </c>
    </row>
    <row r="62" spans="1:9" s="6" customFormat="1" x14ac:dyDescent="0.7">
      <c r="A62" s="7">
        <v>6</v>
      </c>
      <c r="B62" s="7">
        <v>9</v>
      </c>
      <c r="C62" s="7" t="s">
        <v>244</v>
      </c>
      <c r="D62" s="7" t="s">
        <v>293</v>
      </c>
      <c r="E62" s="7">
        <v>14</v>
      </c>
      <c r="F62" s="7" t="s">
        <v>108</v>
      </c>
      <c r="G62" s="7" t="str">
        <f>"Amira-"&amp;A62&amp;"-"&amp;B62&amp;"-"&amp;COUNTIFS($A$2:A62,A62,$B$2:B62,B62)</f>
        <v>Amira-6-9-1</v>
      </c>
      <c r="H62" s="7" t="s">
        <v>113</v>
      </c>
      <c r="I62" s="7" t="s">
        <v>114</v>
      </c>
    </row>
    <row r="63" spans="1:9" s="6" customFormat="1" x14ac:dyDescent="0.7">
      <c r="A63" s="7">
        <v>6</v>
      </c>
      <c r="B63" s="7">
        <v>9</v>
      </c>
      <c r="C63" s="7" t="s">
        <v>244</v>
      </c>
      <c r="D63" s="7" t="s">
        <v>293</v>
      </c>
      <c r="E63" s="7">
        <v>25</v>
      </c>
      <c r="F63" s="7" t="s">
        <v>219</v>
      </c>
      <c r="G63" s="7" t="str">
        <f>"Amira-"&amp;A63&amp;"-"&amp;B63&amp;"-"&amp;COUNTIFS($A$2:A63,A63,$B$2:B63,B63)</f>
        <v>Amira-6-9-2</v>
      </c>
      <c r="H63" s="7" t="s">
        <v>226</v>
      </c>
      <c r="I63" s="7" t="s">
        <v>227</v>
      </c>
    </row>
    <row r="64" spans="1:9" s="6" customFormat="1" x14ac:dyDescent="0.7">
      <c r="A64" s="7">
        <v>6</v>
      </c>
      <c r="B64" s="7">
        <v>10</v>
      </c>
      <c r="C64" s="7" t="s">
        <v>179</v>
      </c>
      <c r="D64" s="7" t="s">
        <v>293</v>
      </c>
      <c r="E64" s="7">
        <v>20</v>
      </c>
      <c r="F64" s="7" t="s">
        <v>164</v>
      </c>
      <c r="G64" s="7" t="str">
        <f>"Amira-"&amp;A64&amp;"-"&amp;B64&amp;"-"&amp;COUNTIFS($A$2:A64,A64,$B$2:B64,B64)</f>
        <v>Amira-6-10-1</v>
      </c>
      <c r="H64" s="7" t="s">
        <v>175</v>
      </c>
      <c r="I64" s="7" t="s">
        <v>178</v>
      </c>
    </row>
    <row r="65" spans="1:9" s="6" customFormat="1" x14ac:dyDescent="0.7">
      <c r="A65" s="7">
        <v>6</v>
      </c>
      <c r="B65" s="7">
        <v>12</v>
      </c>
      <c r="C65" s="7" t="s">
        <v>243</v>
      </c>
      <c r="D65" s="7" t="s">
        <v>293</v>
      </c>
      <c r="E65" s="7">
        <v>14</v>
      </c>
      <c r="F65" s="7" t="s">
        <v>108</v>
      </c>
      <c r="G65" s="7" t="str">
        <f>"Amira-"&amp;A65&amp;"-"&amp;B65&amp;"-"&amp;COUNTIFS($A$2:A65,A65,$B$2:B65,B65)</f>
        <v>Amira-6-12-1</v>
      </c>
      <c r="H65" s="7" t="s">
        <v>109</v>
      </c>
      <c r="I65" s="7" t="s">
        <v>110</v>
      </c>
    </row>
    <row r="66" spans="1:9" s="6" customFormat="1" ht="49.5" x14ac:dyDescent="0.7">
      <c r="A66" s="7">
        <v>7</v>
      </c>
      <c r="B66" s="7">
        <v>1</v>
      </c>
      <c r="C66" s="7" t="s">
        <v>100</v>
      </c>
      <c r="D66" s="7" t="s">
        <v>293</v>
      </c>
      <c r="E66" s="7">
        <v>13</v>
      </c>
      <c r="F66" s="7" t="s">
        <v>97</v>
      </c>
      <c r="G66" s="7" t="str">
        <f>"Amira-"&amp;A66&amp;"-"&amp;B66&amp;"-"&amp;COUNTIFS($A$2:A66,A66,$B$2:B66,B66)</f>
        <v>Amira-7-1-1</v>
      </c>
      <c r="H66" s="7" t="s">
        <v>99</v>
      </c>
      <c r="I66" s="7" t="s">
        <v>260</v>
      </c>
    </row>
    <row r="67" spans="1:9" s="6" customFormat="1" ht="49.5" x14ac:dyDescent="0.7">
      <c r="A67" s="7">
        <v>7</v>
      </c>
      <c r="B67" s="7">
        <v>2</v>
      </c>
      <c r="C67" s="7" t="s">
        <v>112</v>
      </c>
      <c r="D67" s="7" t="s">
        <v>293</v>
      </c>
      <c r="E67" s="7">
        <v>14</v>
      </c>
      <c r="F67" s="7" t="s">
        <v>108</v>
      </c>
      <c r="G67" s="7" t="str">
        <f>"Amira-"&amp;A67&amp;"-"&amp;B67&amp;"-"&amp;COUNTIFS($A$2:A67,A67,$B$2:B67,B67)</f>
        <v>Amira-7-2-1</v>
      </c>
      <c r="H67" s="7" t="s">
        <v>99</v>
      </c>
      <c r="I67" s="7" t="s">
        <v>278</v>
      </c>
    </row>
    <row r="68" spans="1:9" s="6" customFormat="1" x14ac:dyDescent="0.7">
      <c r="A68" s="7">
        <v>7</v>
      </c>
      <c r="B68" s="7">
        <v>3</v>
      </c>
      <c r="C68" s="7" t="s">
        <v>236</v>
      </c>
      <c r="D68" s="7" t="s">
        <v>293</v>
      </c>
      <c r="E68" s="7">
        <v>21</v>
      </c>
      <c r="F68" s="7" t="s">
        <v>180</v>
      </c>
      <c r="G68" s="7" t="str">
        <f>"Amira-"&amp;A68&amp;"-"&amp;B68&amp;"-"&amp;COUNTIFS($A$2:A68,A68,$B$2:B68,B68)</f>
        <v>Amira-7-3-1</v>
      </c>
      <c r="H68" s="7" t="s">
        <v>160</v>
      </c>
      <c r="I68" s="7" t="s">
        <v>188</v>
      </c>
    </row>
    <row r="69" spans="1:9" s="6" customFormat="1" x14ac:dyDescent="0.7">
      <c r="A69" s="7">
        <v>7</v>
      </c>
      <c r="B69" s="7">
        <v>4</v>
      </c>
      <c r="C69" s="7" t="s">
        <v>240</v>
      </c>
      <c r="D69" s="7" t="s">
        <v>293</v>
      </c>
      <c r="E69" s="7">
        <v>13</v>
      </c>
      <c r="F69" s="7" t="s">
        <v>97</v>
      </c>
      <c r="G69" s="7" t="str">
        <f>"Amira-"&amp;A69&amp;"-"&amp;B69&amp;"-"&amp;COUNTIFS($A$2:A69,A69,$B$2:B69,B69)</f>
        <v>Amira-7-4-1</v>
      </c>
      <c r="H69" s="7" t="s">
        <v>99</v>
      </c>
      <c r="I69" s="7" t="s">
        <v>105</v>
      </c>
    </row>
    <row r="70" spans="1:9" s="6" customFormat="1" ht="33" x14ac:dyDescent="0.7">
      <c r="A70" s="7">
        <v>7</v>
      </c>
      <c r="B70" s="7">
        <v>5</v>
      </c>
      <c r="C70" s="7" t="s">
        <v>115</v>
      </c>
      <c r="D70" s="7" t="s">
        <v>293</v>
      </c>
      <c r="E70" s="7">
        <v>14</v>
      </c>
      <c r="F70" s="7" t="s">
        <v>108</v>
      </c>
      <c r="G70" s="7" t="str">
        <f>"Amira-"&amp;A70&amp;"-"&amp;B70&amp;"-"&amp;COUNTIFS($A$2:A70,A70,$B$2:B70,B70)</f>
        <v>Amira-7-5-1</v>
      </c>
      <c r="H70" s="7" t="s">
        <v>115</v>
      </c>
      <c r="I70" s="7" t="s">
        <v>279</v>
      </c>
    </row>
    <row r="71" spans="1:9" s="6" customFormat="1" ht="49.5" x14ac:dyDescent="0.7">
      <c r="A71" s="7">
        <v>7</v>
      </c>
      <c r="B71" s="7">
        <v>6</v>
      </c>
      <c r="C71" s="7" t="s">
        <v>181</v>
      </c>
      <c r="D71" s="7" t="s">
        <v>293</v>
      </c>
      <c r="E71" s="7">
        <v>21</v>
      </c>
      <c r="F71" s="7" t="s">
        <v>180</v>
      </c>
      <c r="G71" s="7" t="str">
        <f>"Amira-"&amp;A71&amp;"-"&amp;B71&amp;"-"&amp;COUNTIFS($A$2:A71,A71,$B$2:B71,B71)</f>
        <v>Amira-7-6-1</v>
      </c>
      <c r="H71" s="7" t="s">
        <v>99</v>
      </c>
      <c r="I71" s="7" t="s">
        <v>280</v>
      </c>
    </row>
    <row r="72" spans="1:9" s="6" customFormat="1" x14ac:dyDescent="0.7">
      <c r="A72" s="7">
        <v>7</v>
      </c>
      <c r="B72" s="7">
        <v>6</v>
      </c>
      <c r="C72" s="7" t="s">
        <v>181</v>
      </c>
      <c r="D72" s="7" t="s">
        <v>293</v>
      </c>
      <c r="E72" s="7">
        <v>25</v>
      </c>
      <c r="F72" s="7" t="s">
        <v>219</v>
      </c>
      <c r="G72" s="7" t="str">
        <f>"Amira-"&amp;A72&amp;"-"&amp;B72&amp;"-"&amp;COUNTIFS($A$2:A72,A72,$B$2:B72,B72)</f>
        <v>Amira-7-6-2</v>
      </c>
      <c r="H72" s="7" t="s">
        <v>99</v>
      </c>
      <c r="I72" s="7" t="s">
        <v>220</v>
      </c>
    </row>
    <row r="73" spans="1:9" s="6" customFormat="1" x14ac:dyDescent="0.7">
      <c r="A73" s="7">
        <v>7</v>
      </c>
      <c r="B73" s="7">
        <v>7</v>
      </c>
      <c r="C73" s="7" t="s">
        <v>120</v>
      </c>
      <c r="D73" s="7" t="s">
        <v>293</v>
      </c>
      <c r="E73" s="7">
        <v>14</v>
      </c>
      <c r="F73" s="7" t="s">
        <v>108</v>
      </c>
      <c r="G73" s="7" t="str">
        <f>"Amira-"&amp;A73&amp;"-"&amp;B73&amp;"-"&amp;COUNTIFS($A$2:A73,A73,$B$2:B73,B73)</f>
        <v>Amira-7-7-1</v>
      </c>
      <c r="H73" s="7" t="s">
        <v>118</v>
      </c>
      <c r="I73" s="7" t="s">
        <v>119</v>
      </c>
    </row>
    <row r="74" spans="1:9" s="6" customFormat="1" x14ac:dyDescent="0.7">
      <c r="A74" s="7">
        <v>7</v>
      </c>
      <c r="B74" s="7">
        <v>8</v>
      </c>
      <c r="C74" s="7" t="s">
        <v>116</v>
      </c>
      <c r="D74" s="7" t="s">
        <v>293</v>
      </c>
      <c r="E74" s="7">
        <v>14</v>
      </c>
      <c r="F74" s="7" t="s">
        <v>108</v>
      </c>
      <c r="G74" s="7" t="str">
        <f>"Amira-"&amp;A74&amp;"-"&amp;B74&amp;"-"&amp;COUNTIFS($A$2:A74,A74,$B$2:B74,B74)</f>
        <v>Amira-7-8-1</v>
      </c>
      <c r="H74" s="7" t="s">
        <v>116</v>
      </c>
      <c r="I74" s="7" t="s">
        <v>117</v>
      </c>
    </row>
    <row r="75" spans="1:9" s="6" customFormat="1" ht="33" x14ac:dyDescent="0.7">
      <c r="A75" s="7">
        <v>7</v>
      </c>
      <c r="B75" s="7">
        <v>9</v>
      </c>
      <c r="C75" s="7" t="s">
        <v>234</v>
      </c>
      <c r="D75" s="7" t="s">
        <v>293</v>
      </c>
      <c r="E75" s="7">
        <v>14</v>
      </c>
      <c r="F75" s="7" t="s">
        <v>108</v>
      </c>
      <c r="G75" s="7" t="str">
        <f>"Amira-"&amp;A75&amp;"-"&amp;B75&amp;"-"&amp;COUNTIFS($A$2:A75,A75,$B$2:B75,B75)</f>
        <v>Amira-7-9-1</v>
      </c>
      <c r="H75" s="7" t="s">
        <v>121</v>
      </c>
      <c r="I75" s="7" t="s">
        <v>281</v>
      </c>
    </row>
    <row r="76" spans="1:9" s="6" customFormat="1" ht="49.5" x14ac:dyDescent="0.7">
      <c r="A76" s="7">
        <v>7</v>
      </c>
      <c r="B76" s="7">
        <v>10</v>
      </c>
      <c r="C76" s="7" t="s">
        <v>128</v>
      </c>
      <c r="D76" s="7" t="s">
        <v>293</v>
      </c>
      <c r="E76" s="7">
        <v>16</v>
      </c>
      <c r="F76" s="7" t="s">
        <v>127</v>
      </c>
      <c r="G76" s="7" t="str">
        <f>"Amira-"&amp;A76&amp;"-"&amp;B76&amp;"-"&amp;COUNTIFS($A$2:A76,A76,$B$2:B76,B76)</f>
        <v>Amira-7-10-1</v>
      </c>
      <c r="H76" s="7" t="s">
        <v>99</v>
      </c>
      <c r="I76" s="7" t="s">
        <v>282</v>
      </c>
    </row>
    <row r="77" spans="1:9" s="6" customFormat="1" ht="33" x14ac:dyDescent="0.7">
      <c r="A77" s="7">
        <v>7</v>
      </c>
      <c r="B77" s="7">
        <v>11</v>
      </c>
      <c r="C77" s="7" t="s">
        <v>129</v>
      </c>
      <c r="D77" s="7" t="s">
        <v>293</v>
      </c>
      <c r="E77" s="7">
        <v>16</v>
      </c>
      <c r="F77" s="7" t="s">
        <v>127</v>
      </c>
      <c r="G77" s="7" t="str">
        <f>"Amira-"&amp;A77&amp;"-"&amp;B77&amp;"-"&amp;COUNTIFS($A$2:A77,A77,$B$2:B77,B77)</f>
        <v>Amira-7-11-1</v>
      </c>
      <c r="H77" s="7" t="s">
        <v>99</v>
      </c>
      <c r="I77" s="7" t="s">
        <v>283</v>
      </c>
    </row>
    <row r="78" spans="1:9" s="6" customFormat="1" x14ac:dyDescent="0.7">
      <c r="A78" s="7">
        <v>7</v>
      </c>
      <c r="B78" s="7">
        <v>12</v>
      </c>
      <c r="C78" s="7" t="s">
        <v>131</v>
      </c>
      <c r="D78" s="7" t="s">
        <v>293</v>
      </c>
      <c r="E78" s="7">
        <v>16</v>
      </c>
      <c r="F78" s="7" t="s">
        <v>127</v>
      </c>
      <c r="G78" s="7" t="str">
        <f>"Amira-"&amp;A78&amp;"-"&amp;B78&amp;"-"&amp;COUNTIFS($A$2:A78,A78,$B$2:B78,B78)</f>
        <v>Amira-7-12-1</v>
      </c>
      <c r="H78" s="7" t="s">
        <v>99</v>
      </c>
      <c r="I78" s="7" t="s">
        <v>130</v>
      </c>
    </row>
    <row r="79" spans="1:9" s="6" customFormat="1" x14ac:dyDescent="0.7">
      <c r="A79" s="7">
        <v>7</v>
      </c>
      <c r="B79" s="7">
        <v>15</v>
      </c>
      <c r="C79" s="7" t="s">
        <v>185</v>
      </c>
      <c r="D79" s="7" t="s">
        <v>293</v>
      </c>
      <c r="E79" s="7">
        <v>21</v>
      </c>
      <c r="F79" s="7" t="s">
        <v>180</v>
      </c>
      <c r="G79" s="7" t="str">
        <f>"Amira-"&amp;A79&amp;"-"&amp;B79&amp;"-"&amp;COUNTIFS($A$2:A79,A79,$B$2:B79,B79)</f>
        <v>Amira-7-15-1</v>
      </c>
      <c r="H79" s="7" t="s">
        <v>183</v>
      </c>
      <c r="I79" s="7" t="s">
        <v>184</v>
      </c>
    </row>
    <row r="80" spans="1:9" s="6" customFormat="1" x14ac:dyDescent="0.7">
      <c r="A80" s="7">
        <v>7</v>
      </c>
      <c r="B80" s="7">
        <v>16</v>
      </c>
      <c r="C80" s="7" t="s">
        <v>187</v>
      </c>
      <c r="D80" s="7" t="s">
        <v>293</v>
      </c>
      <c r="E80" s="7">
        <v>21</v>
      </c>
      <c r="F80" s="7" t="s">
        <v>180</v>
      </c>
      <c r="G80" s="7" t="str">
        <f>"Amira-"&amp;A80&amp;"-"&amp;B80&amp;"-"&amp;COUNTIFS($A$2:A80,A80,$B$2:B80,B80)</f>
        <v>Amira-7-16-1</v>
      </c>
      <c r="H80" s="7" t="s">
        <v>183</v>
      </c>
      <c r="I80" s="7" t="s">
        <v>186</v>
      </c>
    </row>
    <row r="81" spans="1:9" s="6" customFormat="1" ht="33" x14ac:dyDescent="0.7">
      <c r="A81" s="7">
        <v>8</v>
      </c>
      <c r="B81" s="7">
        <v>1</v>
      </c>
      <c r="C81" s="7" t="s">
        <v>155</v>
      </c>
      <c r="D81" s="7" t="s">
        <v>293</v>
      </c>
      <c r="E81" s="7">
        <v>19</v>
      </c>
      <c r="F81" s="7" t="s">
        <v>153</v>
      </c>
      <c r="G81" s="7" t="str">
        <f>"Amira-"&amp;A81&amp;"-"&amp;B81&amp;"-"&amp;COUNTIFS($A$2:A81,A81,$B$2:B81,B81)</f>
        <v>Amira-8-1-1</v>
      </c>
      <c r="H81" s="7" t="s">
        <v>154</v>
      </c>
      <c r="I81" s="7" t="s">
        <v>284</v>
      </c>
    </row>
    <row r="82" spans="1:9" s="6" customFormat="1" x14ac:dyDescent="0.7">
      <c r="A82" s="7">
        <v>8</v>
      </c>
      <c r="B82" s="7">
        <v>2</v>
      </c>
      <c r="C82" s="7" t="s">
        <v>152</v>
      </c>
      <c r="D82" s="7" t="s">
        <v>293</v>
      </c>
      <c r="E82" s="7">
        <v>18</v>
      </c>
      <c r="F82" s="7" t="s">
        <v>143</v>
      </c>
      <c r="G82" s="7" t="str">
        <f>"Amira-"&amp;A82&amp;"-"&amp;B82&amp;"-"&amp;COUNTIFS($A$2:A82,A82,$B$2:B82,B82)</f>
        <v>Amira-8-2-1</v>
      </c>
      <c r="H82" s="7" t="s">
        <v>285</v>
      </c>
      <c r="I82" s="7" t="s">
        <v>151</v>
      </c>
    </row>
    <row r="83" spans="1:9" s="6" customFormat="1" x14ac:dyDescent="0.7">
      <c r="A83" s="7">
        <v>8</v>
      </c>
      <c r="B83" s="7">
        <v>2</v>
      </c>
      <c r="C83" s="7" t="s">
        <v>152</v>
      </c>
      <c r="D83" s="7" t="s">
        <v>293</v>
      </c>
      <c r="E83" s="7">
        <v>20</v>
      </c>
      <c r="F83" s="7" t="s">
        <v>164</v>
      </c>
      <c r="G83" s="7" t="str">
        <f>"Amira-"&amp;A83&amp;"-"&amp;B83&amp;"-"&amp;COUNTIFS($A$2:A83,A83,$B$2:B83,B83)</f>
        <v>Amira-8-2-2</v>
      </c>
      <c r="H83" s="7" t="s">
        <v>154</v>
      </c>
      <c r="I83" s="7" t="s">
        <v>165</v>
      </c>
    </row>
    <row r="84" spans="1:9" s="6" customFormat="1" x14ac:dyDescent="0.7">
      <c r="A84" s="7">
        <v>8</v>
      </c>
      <c r="B84" s="7">
        <v>3</v>
      </c>
      <c r="C84" s="7" t="s">
        <v>167</v>
      </c>
      <c r="D84" s="7" t="s">
        <v>293</v>
      </c>
      <c r="E84" s="7">
        <v>20</v>
      </c>
      <c r="F84" s="7" t="s">
        <v>164</v>
      </c>
      <c r="G84" s="7" t="str">
        <f>"Amira-"&amp;A84&amp;"-"&amp;B84&amp;"-"&amp;COUNTIFS($A$2:A84,A84,$B$2:B84,B84)</f>
        <v>Amira-8-3-1</v>
      </c>
      <c r="H84" s="7" t="s">
        <v>154</v>
      </c>
      <c r="I84" s="7" t="s">
        <v>166</v>
      </c>
    </row>
    <row r="85" spans="1:9" s="6" customFormat="1" x14ac:dyDescent="0.7">
      <c r="A85" s="7">
        <v>8</v>
      </c>
      <c r="B85" s="7">
        <v>4</v>
      </c>
      <c r="C85" s="7" t="s">
        <v>173</v>
      </c>
      <c r="D85" s="7" t="s">
        <v>293</v>
      </c>
      <c r="E85" s="7">
        <v>20</v>
      </c>
      <c r="F85" s="7" t="s">
        <v>164</v>
      </c>
      <c r="G85" s="7" t="str">
        <f>"Amira-"&amp;A85&amp;"-"&amp;B85&amp;"-"&amp;COUNTIFS($A$2:A85,A85,$B$2:B85,B85)</f>
        <v>Amira-8-4-1</v>
      </c>
      <c r="H85" s="7" t="s">
        <v>154</v>
      </c>
      <c r="I85" s="7" t="s">
        <v>172</v>
      </c>
    </row>
    <row r="86" spans="1:9" s="6" customFormat="1" x14ac:dyDescent="0.7">
      <c r="A86" s="7">
        <v>8</v>
      </c>
      <c r="B86" s="7">
        <v>8</v>
      </c>
      <c r="C86" s="7" t="s">
        <v>204</v>
      </c>
      <c r="D86" s="7" t="s">
        <v>293</v>
      </c>
      <c r="E86" s="7">
        <v>23</v>
      </c>
      <c r="F86" s="7" t="s">
        <v>202</v>
      </c>
      <c r="G86" s="7" t="str">
        <f>"Amira-"&amp;A86&amp;"-"&amp;B86&amp;"-"&amp;COUNTIFS($A$2:A86,A86,$B$2:B86,B86)</f>
        <v>Amira-8-8-1</v>
      </c>
      <c r="H86" s="7" t="s">
        <v>154</v>
      </c>
      <c r="I86" s="7" t="s">
        <v>203</v>
      </c>
    </row>
    <row r="87" spans="1:9" s="6" customFormat="1" x14ac:dyDescent="0.7">
      <c r="A87" s="7">
        <v>8</v>
      </c>
      <c r="B87" s="7">
        <v>9</v>
      </c>
      <c r="C87" s="7" t="s">
        <v>169</v>
      </c>
      <c r="D87" s="7" t="s">
        <v>293</v>
      </c>
      <c r="E87" s="7">
        <v>20</v>
      </c>
      <c r="F87" s="7" t="s">
        <v>164</v>
      </c>
      <c r="G87" s="7" t="str">
        <f>"Amira-"&amp;A87&amp;"-"&amp;B87&amp;"-"&amp;COUNTIFS($A$2:A87,A87,$B$2:B87,B87)</f>
        <v>Amira-8-9-1</v>
      </c>
      <c r="H87" s="7" t="s">
        <v>154</v>
      </c>
      <c r="I87" s="7" t="s">
        <v>168</v>
      </c>
    </row>
    <row r="88" spans="1:9" s="6" customFormat="1" x14ac:dyDescent="0.7">
      <c r="A88" s="7">
        <v>8</v>
      </c>
      <c r="B88" s="7">
        <v>10</v>
      </c>
      <c r="C88" s="7" t="s">
        <v>171</v>
      </c>
      <c r="D88" s="7" t="s">
        <v>293</v>
      </c>
      <c r="E88" s="7">
        <v>20</v>
      </c>
      <c r="F88" s="7" t="s">
        <v>164</v>
      </c>
      <c r="G88" s="7" t="str">
        <f>"Amira-"&amp;A88&amp;"-"&amp;B88&amp;"-"&amp;COUNTIFS($A$2:A88,A88,$B$2:B88,B88)</f>
        <v>Amira-8-10-1</v>
      </c>
      <c r="H88" s="7" t="s">
        <v>154</v>
      </c>
      <c r="I88" s="7" t="s">
        <v>170</v>
      </c>
    </row>
    <row r="89" spans="1:9" s="6" customFormat="1" x14ac:dyDescent="0.7">
      <c r="A89" s="7">
        <v>8</v>
      </c>
      <c r="B89" s="7">
        <v>11</v>
      </c>
      <c r="C89" s="7" t="s">
        <v>149</v>
      </c>
      <c r="D89" s="7" t="s">
        <v>293</v>
      </c>
      <c r="E89" s="7">
        <v>18</v>
      </c>
      <c r="F89" s="7" t="s">
        <v>143</v>
      </c>
      <c r="G89" s="7" t="str">
        <f>"Amira-"&amp;A89&amp;"-"&amp;B89&amp;"-"&amp;COUNTIFS($A$2:A89,A89,$B$2:B89,B89)</f>
        <v>Amira-8-11-1</v>
      </c>
      <c r="H89" s="7" t="s">
        <v>144</v>
      </c>
      <c r="I89" s="7" t="s">
        <v>148</v>
      </c>
    </row>
    <row r="90" spans="1:9" s="6" customFormat="1" x14ac:dyDescent="0.7">
      <c r="A90" s="7">
        <v>8</v>
      </c>
      <c r="B90" s="7">
        <v>12</v>
      </c>
      <c r="C90" s="7" t="s">
        <v>249</v>
      </c>
      <c r="D90" s="7" t="s">
        <v>293</v>
      </c>
      <c r="E90" s="7">
        <v>19</v>
      </c>
      <c r="F90" s="7" t="s">
        <v>153</v>
      </c>
      <c r="G90" s="7" t="str">
        <f>"Amira-"&amp;A90&amp;"-"&amp;B90&amp;"-"&amp;COUNTIFS($A$2:A90,A90,$B$2:B90,B90)</f>
        <v>Amira-8-12-1</v>
      </c>
      <c r="H90" s="7" t="s">
        <v>154</v>
      </c>
      <c r="I90" s="7" t="s">
        <v>156</v>
      </c>
    </row>
    <row r="91" spans="1:9" s="6" customFormat="1" ht="49.5" x14ac:dyDescent="0.7">
      <c r="A91" s="7">
        <v>9</v>
      </c>
      <c r="B91" s="7">
        <v>1</v>
      </c>
      <c r="C91" s="7" t="s">
        <v>137</v>
      </c>
      <c r="D91" s="7" t="s">
        <v>293</v>
      </c>
      <c r="E91" s="7">
        <v>17</v>
      </c>
      <c r="F91" s="7" t="s">
        <v>132</v>
      </c>
      <c r="G91" s="7" t="str">
        <f>"Amira-"&amp;A91&amp;"-"&amp;B91&amp;"-"&amp;COUNTIFS($A$2:A91,A91,$B$2:B91,B91)</f>
        <v>Amira-9-1-1</v>
      </c>
      <c r="H91" s="7" t="s">
        <v>136</v>
      </c>
      <c r="I91" s="7" t="s">
        <v>286</v>
      </c>
    </row>
    <row r="92" spans="1:9" s="6" customFormat="1" x14ac:dyDescent="0.7">
      <c r="A92" s="7">
        <v>9</v>
      </c>
      <c r="B92" s="7">
        <v>3</v>
      </c>
      <c r="C92" s="7" t="s">
        <v>250</v>
      </c>
      <c r="D92" s="7" t="s">
        <v>293</v>
      </c>
      <c r="E92" s="7">
        <v>17</v>
      </c>
      <c r="F92" s="7" t="s">
        <v>132</v>
      </c>
      <c r="G92" s="7" t="str">
        <f>"Amira-"&amp;A92&amp;"-"&amp;B92&amp;"-"&amp;COUNTIFS($A$2:A92,A92,$B$2:B92,B92)</f>
        <v>Amira-9-3-1</v>
      </c>
      <c r="H92" s="7" t="s">
        <v>141</v>
      </c>
      <c r="I92" s="7" t="s">
        <v>142</v>
      </c>
    </row>
    <row r="93" spans="1:9" s="6" customFormat="1" ht="33" x14ac:dyDescent="0.7">
      <c r="A93" s="7">
        <v>9</v>
      </c>
      <c r="B93" s="7">
        <v>9</v>
      </c>
      <c r="C93" s="7" t="s">
        <v>199</v>
      </c>
      <c r="D93" s="7" t="s">
        <v>293</v>
      </c>
      <c r="E93" s="7">
        <v>22</v>
      </c>
      <c r="F93" s="7" t="s">
        <v>189</v>
      </c>
      <c r="G93" s="7" t="str">
        <f>"Amira-"&amp;A93&amp;"-"&amp;B93&amp;"-"&amp;COUNTIFS($A$2:A93,A93,$B$2:B93,B93)</f>
        <v>Amira-9-9-1</v>
      </c>
      <c r="H93" s="7" t="s">
        <v>198</v>
      </c>
      <c r="I93" s="7" t="s">
        <v>288</v>
      </c>
    </row>
    <row r="94" spans="1:9" s="6" customFormat="1" ht="33" x14ac:dyDescent="0.7">
      <c r="A94" s="7">
        <v>9</v>
      </c>
      <c r="B94" s="7">
        <v>10</v>
      </c>
      <c r="C94" s="7" t="s">
        <v>197</v>
      </c>
      <c r="D94" s="7" t="s">
        <v>293</v>
      </c>
      <c r="E94" s="7">
        <v>22</v>
      </c>
      <c r="F94" s="7" t="s">
        <v>189</v>
      </c>
      <c r="G94" s="7" t="str">
        <f>"Amira-"&amp;A94&amp;"-"&amp;B94&amp;"-"&amp;COUNTIFS($A$2:A94,A94,$B$2:B94,B94)</f>
        <v>Amira-9-10-1</v>
      </c>
      <c r="H94" s="7" t="s">
        <v>196</v>
      </c>
      <c r="I94" s="7" t="s">
        <v>287</v>
      </c>
    </row>
    <row r="95" spans="1:9" s="6" customFormat="1" x14ac:dyDescent="0.7">
      <c r="A95" s="7">
        <v>9</v>
      </c>
      <c r="B95" s="7">
        <v>11</v>
      </c>
      <c r="C95" s="7" t="s">
        <v>158</v>
      </c>
      <c r="D95" s="7" t="s">
        <v>293</v>
      </c>
      <c r="E95" s="7">
        <v>19</v>
      </c>
      <c r="F95" s="7" t="s">
        <v>153</v>
      </c>
      <c r="G95" s="7" t="str">
        <f>"Amira-"&amp;A95&amp;"-"&amp;B95&amp;"-"&amp;COUNTIFS($A$2:A95,A95,$B$2:B95,B95)</f>
        <v>Amira-9-11-1</v>
      </c>
      <c r="H95" s="7" t="s">
        <v>154</v>
      </c>
      <c r="I95" s="7" t="s">
        <v>157</v>
      </c>
    </row>
    <row r="96" spans="1:9" s="6" customFormat="1" x14ac:dyDescent="0.7">
      <c r="A96" s="7">
        <v>10</v>
      </c>
      <c r="B96" s="7">
        <v>1</v>
      </c>
      <c r="C96" s="7" t="s">
        <v>210</v>
      </c>
      <c r="D96" s="7" t="s">
        <v>293</v>
      </c>
      <c r="E96" s="7">
        <v>23</v>
      </c>
      <c r="F96" s="7" t="s">
        <v>202</v>
      </c>
      <c r="G96" s="7" t="str">
        <f>"Amira-"&amp;A96&amp;"-"&amp;B96&amp;"-"&amp;COUNTIFS($A$2:A96,A96,$B$2:B96,B96)</f>
        <v>Amira-10-1-1</v>
      </c>
      <c r="H96" s="7" t="s">
        <v>208</v>
      </c>
      <c r="I96" s="7" t="s">
        <v>209</v>
      </c>
    </row>
    <row r="97" spans="1:9" s="6" customFormat="1" ht="33" x14ac:dyDescent="0.7">
      <c r="A97" s="7">
        <v>10</v>
      </c>
      <c r="B97" s="7">
        <v>1</v>
      </c>
      <c r="C97" s="7" t="s">
        <v>210</v>
      </c>
      <c r="D97" s="7" t="s">
        <v>293</v>
      </c>
      <c r="E97" s="7">
        <v>24</v>
      </c>
      <c r="F97" s="7" t="s">
        <v>211</v>
      </c>
      <c r="G97" s="7" t="str">
        <f>"Amira-"&amp;A97&amp;"-"&amp;B97&amp;"-"&amp;COUNTIFS($A$2:A97,A97,$B$2:B97,B97)</f>
        <v>Amira-10-1-2</v>
      </c>
      <c r="H97" s="7" t="s">
        <v>212</v>
      </c>
      <c r="I97" s="7" t="s">
        <v>289</v>
      </c>
    </row>
    <row r="98" spans="1:9" s="6" customFormat="1" x14ac:dyDescent="0.7">
      <c r="A98" s="7">
        <v>10</v>
      </c>
      <c r="B98" s="7">
        <v>2</v>
      </c>
      <c r="C98" s="7" t="s">
        <v>214</v>
      </c>
      <c r="D98" s="7" t="s">
        <v>293</v>
      </c>
      <c r="E98" s="7">
        <v>24</v>
      </c>
      <c r="F98" s="7" t="s">
        <v>211</v>
      </c>
      <c r="G98" s="7" t="str">
        <f>"Amira-"&amp;A98&amp;"-"&amp;B98&amp;"-"&amp;COUNTIFS($A$2:A98,A98,$B$2:B98,B98)</f>
        <v>Amira-10-2-1</v>
      </c>
      <c r="H98" s="7" t="s">
        <v>212</v>
      </c>
      <c r="I98" s="7" t="s">
        <v>213</v>
      </c>
    </row>
    <row r="99" spans="1:9" s="6" customFormat="1" x14ac:dyDescent="0.7">
      <c r="A99" s="7">
        <v>10</v>
      </c>
      <c r="B99" s="7">
        <v>3</v>
      </c>
      <c r="C99" s="7" t="s">
        <v>216</v>
      </c>
      <c r="D99" s="7" t="s">
        <v>293</v>
      </c>
      <c r="E99" s="7">
        <v>24</v>
      </c>
      <c r="F99" s="7" t="s">
        <v>211</v>
      </c>
      <c r="G99" s="7" t="str">
        <f>"Amira-"&amp;A99&amp;"-"&amp;B99&amp;"-"&amp;COUNTIFS($A$2:A99,A99,$B$2:B99,B99)</f>
        <v>Amira-10-3-1</v>
      </c>
      <c r="H99" s="7" t="s">
        <v>212</v>
      </c>
      <c r="I99" s="7" t="s">
        <v>215</v>
      </c>
    </row>
    <row r="100" spans="1:9" s="6" customFormat="1" x14ac:dyDescent="0.7">
      <c r="A100" s="7">
        <v>10</v>
      </c>
      <c r="B100" s="7">
        <v>4</v>
      </c>
      <c r="C100" s="7" t="s">
        <v>218</v>
      </c>
      <c r="D100" s="7" t="s">
        <v>293</v>
      </c>
      <c r="E100" s="7">
        <v>24</v>
      </c>
      <c r="F100" s="7" t="s">
        <v>211</v>
      </c>
      <c r="G100" s="7" t="str">
        <f>"Amira-"&amp;A100&amp;"-"&amp;B100&amp;"-"&amp;COUNTIFS($A$2:A100,A100,$B$2:B100,B100)</f>
        <v>Amira-10-4-1</v>
      </c>
      <c r="H100" s="7" t="s">
        <v>212</v>
      </c>
      <c r="I100" s="7" t="s">
        <v>217</v>
      </c>
    </row>
    <row r="101" spans="1:9" s="6" customFormat="1" x14ac:dyDescent="0.7">
      <c r="A101" s="7">
        <v>10</v>
      </c>
      <c r="B101" s="7">
        <v>13</v>
      </c>
      <c r="C101" s="7" t="s">
        <v>201</v>
      </c>
      <c r="D101" s="7" t="s">
        <v>293</v>
      </c>
      <c r="E101" s="7">
        <v>22</v>
      </c>
      <c r="F101" s="7" t="s">
        <v>189</v>
      </c>
      <c r="G101" s="7" t="str">
        <f>"Amira-"&amp;A101&amp;"-"&amp;B101&amp;"-"&amp;COUNTIFS($A$2:A101,A101,$B$2:B101,B101)</f>
        <v>Amira-10-13-1</v>
      </c>
      <c r="H101" s="7" t="s">
        <v>99</v>
      </c>
      <c r="I101" s="7" t="s">
        <v>200</v>
      </c>
    </row>
    <row r="102" spans="1:9" s="6" customFormat="1" x14ac:dyDescent="0.7">
      <c r="A102" s="7">
        <v>10</v>
      </c>
      <c r="B102" s="7">
        <v>13</v>
      </c>
      <c r="C102" s="7" t="s">
        <v>201</v>
      </c>
      <c r="D102" s="7" t="s">
        <v>293</v>
      </c>
      <c r="E102" s="7">
        <v>25</v>
      </c>
      <c r="F102" s="7" t="s">
        <v>219</v>
      </c>
      <c r="G102" s="7" t="str">
        <f>"Amira-"&amp;A102&amp;"-"&amp;B102&amp;"-"&amp;COUNTIFS($A$2:A102,A102,$B$2:B102,B102)</f>
        <v>Amira-10-13-2</v>
      </c>
      <c r="H102" s="7" t="s">
        <v>221</v>
      </c>
      <c r="I102" s="7" t="s">
        <v>222</v>
      </c>
    </row>
    <row r="103" spans="1:9" s="6" customFormat="1" x14ac:dyDescent="0.7">
      <c r="A103" s="7">
        <v>10</v>
      </c>
      <c r="B103" s="7">
        <v>14</v>
      </c>
      <c r="C103" s="7" t="s">
        <v>225</v>
      </c>
      <c r="D103" s="7" t="s">
        <v>293</v>
      </c>
      <c r="E103" s="7">
        <v>25</v>
      </c>
      <c r="F103" s="7" t="s">
        <v>219</v>
      </c>
      <c r="G103" s="7" t="str">
        <f>"Amira-"&amp;A103&amp;"-"&amp;B103&amp;"-"&amp;COUNTIFS($A$2:A103,A103,$B$2:B103,B103)</f>
        <v>Amira-10-14-1</v>
      </c>
      <c r="H103" s="7" t="s">
        <v>223</v>
      </c>
      <c r="I103" s="7" t="s">
        <v>224</v>
      </c>
    </row>
    <row r="104" spans="1:9" s="6" customFormat="1" x14ac:dyDescent="0.7">
      <c r="A104" s="7" t="s">
        <v>7</v>
      </c>
      <c r="B104" s="7">
        <v>1</v>
      </c>
      <c r="C104" s="7" t="s">
        <v>8</v>
      </c>
      <c r="D104" s="7" t="s">
        <v>293</v>
      </c>
      <c r="E104" s="7">
        <v>1</v>
      </c>
      <c r="F104" s="7" t="s">
        <v>4</v>
      </c>
      <c r="G104" s="7" t="str">
        <f>"Amira-"&amp;A104&amp;"-"&amp;B104&amp;"-"&amp;COUNTIFS($A$2:A104,A104,$B$2:B104,B104)</f>
        <v>Amira-Hangul-1-1</v>
      </c>
      <c r="H104" s="7" t="s">
        <v>5</v>
      </c>
      <c r="I104" s="7" t="s">
        <v>6</v>
      </c>
    </row>
    <row r="105" spans="1:9" s="6" customFormat="1" ht="33" x14ac:dyDescent="0.7">
      <c r="A105" s="7" t="s">
        <v>7</v>
      </c>
      <c r="B105" s="7">
        <v>2</v>
      </c>
      <c r="C105" s="7" t="s">
        <v>11</v>
      </c>
      <c r="D105" s="7" t="s">
        <v>293</v>
      </c>
      <c r="E105" s="7">
        <v>1</v>
      </c>
      <c r="F105" s="7" t="s">
        <v>4</v>
      </c>
      <c r="G105" s="7" t="str">
        <f>"Amira-"&amp;A105&amp;"-"&amp;B105&amp;"-"&amp;COUNTIFS($A$2:A105,A105,$B$2:B105,B105)</f>
        <v>Amira-Hangul-2-1</v>
      </c>
      <c r="H105" s="7" t="s">
        <v>5</v>
      </c>
      <c r="I105" s="7" t="s">
        <v>290</v>
      </c>
    </row>
    <row r="106" spans="1:9" s="6" customFormat="1" x14ac:dyDescent="0.7">
      <c r="A106" s="7" t="s">
        <v>7</v>
      </c>
      <c r="B106" s="7">
        <v>3</v>
      </c>
      <c r="C106" s="7" t="s">
        <v>10</v>
      </c>
      <c r="D106" s="7" t="s">
        <v>293</v>
      </c>
      <c r="E106" s="7">
        <v>1</v>
      </c>
      <c r="F106" s="7" t="s">
        <v>4</v>
      </c>
      <c r="G106" s="7" t="str">
        <f>"Amira-"&amp;A106&amp;"-"&amp;B106&amp;"-"&amp;COUNTIFS($A$2:A106,A106,$B$2:B106,B106)</f>
        <v>Amira-Hangul-3-1</v>
      </c>
      <c r="H106" s="7" t="s">
        <v>5</v>
      </c>
      <c r="I106" s="7" t="s">
        <v>9</v>
      </c>
    </row>
    <row r="107" spans="1:9" s="6" customFormat="1" ht="82.5" x14ac:dyDescent="0.7">
      <c r="A107" s="7" t="s">
        <v>7</v>
      </c>
      <c r="B107" s="7">
        <v>3</v>
      </c>
      <c r="C107" s="7" t="s">
        <v>10</v>
      </c>
      <c r="D107" s="7" t="s">
        <v>293</v>
      </c>
      <c r="E107" s="7">
        <v>2</v>
      </c>
      <c r="F107" s="7" t="s">
        <v>12</v>
      </c>
      <c r="G107" s="7" t="str">
        <f>"Amira-"&amp;A107&amp;"-"&amp;B107&amp;"-"&amp;COUNTIFS($A$2:A107,A107,$B$2:B107,B107)</f>
        <v>Amira-Hangul-3-2</v>
      </c>
      <c r="H107" s="7" t="s">
        <v>13</v>
      </c>
      <c r="I107" s="7" t="s">
        <v>291</v>
      </c>
    </row>
    <row r="108" spans="1:9" s="6" customFormat="1" ht="49.5" x14ac:dyDescent="0.7">
      <c r="A108" s="7" t="s">
        <v>7</v>
      </c>
      <c r="B108" s="7">
        <v>4</v>
      </c>
      <c r="C108" s="7" t="s">
        <v>16</v>
      </c>
      <c r="D108" s="7" t="s">
        <v>293</v>
      </c>
      <c r="E108" s="7">
        <v>3</v>
      </c>
      <c r="F108" s="7" t="s">
        <v>14</v>
      </c>
      <c r="G108" s="7" t="str">
        <f>"Amira-"&amp;A108&amp;"-"&amp;B108&amp;"-"&amp;COUNTIFS($A$2:A108,A108,$B$2:B108,B108)</f>
        <v>Amira-Hangul-4-1</v>
      </c>
      <c r="H108" s="7" t="s">
        <v>15</v>
      </c>
      <c r="I108" s="7" t="s">
        <v>292</v>
      </c>
    </row>
    <row r="109" spans="1:9" s="6" customFormat="1" x14ac:dyDescent="0.7">
      <c r="A109" s="7" t="s">
        <v>18</v>
      </c>
      <c r="B109" s="7">
        <v>1</v>
      </c>
      <c r="C109" s="7" t="s">
        <v>146</v>
      </c>
      <c r="D109" s="7" t="s">
        <v>293</v>
      </c>
      <c r="E109" s="7">
        <v>18</v>
      </c>
      <c r="F109" s="7" t="s">
        <v>143</v>
      </c>
      <c r="G109" s="7" t="str">
        <f>"Amira-"&amp;A109&amp;"-"&amp;B109&amp;"-"&amp;COUNTIFS($A$2:A109,A109,$B$2:B109,B109)</f>
        <v>Amira-Intro-1-1</v>
      </c>
      <c r="H109" s="7" t="s">
        <v>144</v>
      </c>
      <c r="I109" s="7" t="s">
        <v>145</v>
      </c>
    </row>
    <row r="110" spans="1:9" s="6" customFormat="1" ht="33" x14ac:dyDescent="0.7">
      <c r="A110" s="7" t="s">
        <v>18</v>
      </c>
      <c r="B110" s="7">
        <v>1</v>
      </c>
      <c r="C110" s="7" t="s">
        <v>146</v>
      </c>
      <c r="D110" s="7" t="s">
        <v>293</v>
      </c>
      <c r="E110" s="7">
        <v>25</v>
      </c>
      <c r="F110" s="7" t="s">
        <v>219</v>
      </c>
      <c r="G110" s="7" t="str">
        <f>"Amira-"&amp;A110&amp;"-"&amp;B110&amp;"-"&amp;COUNTIFS($A$2:A110,A110,$B$2:B110,B110)</f>
        <v>Amira-Intro-1-2</v>
      </c>
      <c r="H110" s="7" t="s">
        <v>228</v>
      </c>
      <c r="I110" s="7" t="s">
        <v>251</v>
      </c>
    </row>
    <row r="111" spans="1:9" s="6" customFormat="1" x14ac:dyDescent="0.7">
      <c r="A111"/>
      <c r="B111"/>
      <c r="C111"/>
      <c r="D111"/>
      <c r="E111"/>
      <c r="F111"/>
      <c r="G111"/>
      <c r="H111"/>
      <c r="I111"/>
    </row>
    <row r="112" spans="1:9" s="6" customFormat="1" x14ac:dyDescent="0.7">
      <c r="A112"/>
      <c r="B112"/>
      <c r="C112"/>
      <c r="D112"/>
      <c r="E112"/>
      <c r="F112"/>
      <c r="G112"/>
      <c r="H112"/>
      <c r="I112"/>
    </row>
    <row r="113" spans="1:9" s="6" customFormat="1" x14ac:dyDescent="0.7">
      <c r="A113"/>
      <c r="B113"/>
      <c r="C113"/>
      <c r="D113"/>
      <c r="E113"/>
      <c r="F113"/>
      <c r="G113"/>
      <c r="H113"/>
      <c r="I113"/>
    </row>
    <row r="114" spans="1:9" s="6" customFormat="1" x14ac:dyDescent="0.7">
      <c r="A114"/>
      <c r="B114"/>
      <c r="C114"/>
      <c r="D114"/>
      <c r="E114"/>
      <c r="F114"/>
      <c r="G114"/>
      <c r="H114"/>
      <c r="I114"/>
    </row>
    <row r="115" spans="1:9" s="6" customFormat="1" x14ac:dyDescent="0.7">
      <c r="A115"/>
      <c r="B115"/>
      <c r="C115"/>
      <c r="D115"/>
      <c r="E115"/>
      <c r="F115"/>
      <c r="G115"/>
      <c r="H115"/>
      <c r="I115"/>
    </row>
    <row r="116" spans="1:9" s="6" customFormat="1" x14ac:dyDescent="0.7">
      <c r="A116"/>
      <c r="B116"/>
      <c r="C116"/>
      <c r="D116"/>
      <c r="E116"/>
      <c r="F116"/>
      <c r="G116"/>
      <c r="H116"/>
      <c r="I116"/>
    </row>
    <row r="117" spans="1:9" s="6" customFormat="1" x14ac:dyDescent="0.7">
      <c r="A117"/>
      <c r="B117"/>
      <c r="C117"/>
      <c r="D117"/>
      <c r="E117"/>
      <c r="F117"/>
      <c r="G117"/>
      <c r="H117"/>
      <c r="I117"/>
    </row>
    <row r="118" spans="1:9" s="6" customFormat="1" x14ac:dyDescent="0.7">
      <c r="A118"/>
      <c r="B118"/>
      <c r="C118"/>
      <c r="D118"/>
      <c r="E118"/>
      <c r="F118"/>
      <c r="G118"/>
      <c r="H118"/>
      <c r="I118"/>
    </row>
    <row r="119" spans="1:9" s="6" customFormat="1" x14ac:dyDescent="0.7">
      <c r="A119"/>
      <c r="B119"/>
      <c r="C119"/>
      <c r="D119"/>
      <c r="E119"/>
      <c r="F119"/>
      <c r="G119"/>
      <c r="H119"/>
      <c r="I119"/>
    </row>
    <row r="120" spans="1:9" s="6" customFormat="1" x14ac:dyDescent="0.7">
      <c r="A120"/>
      <c r="B120"/>
      <c r="C120"/>
      <c r="D120"/>
      <c r="E120"/>
      <c r="F120"/>
      <c r="G120"/>
      <c r="H120"/>
      <c r="I120"/>
    </row>
    <row r="121" spans="1:9" s="6" customFormat="1" x14ac:dyDescent="0.7">
      <c r="A121"/>
      <c r="B121"/>
      <c r="C121"/>
      <c r="D121"/>
      <c r="E121"/>
      <c r="F121"/>
      <c r="G121"/>
      <c r="H121"/>
      <c r="I121"/>
    </row>
    <row r="122" spans="1:9" s="6" customFormat="1" x14ac:dyDescent="0.7">
      <c r="A122"/>
      <c r="B122"/>
      <c r="C122"/>
      <c r="D122"/>
      <c r="E122"/>
      <c r="F122"/>
      <c r="G122"/>
      <c r="H122"/>
      <c r="I122"/>
    </row>
    <row r="123" spans="1:9" s="6" customFormat="1" x14ac:dyDescent="0.7">
      <c r="A123"/>
      <c r="B123"/>
      <c r="C123"/>
      <c r="D123"/>
      <c r="E123"/>
      <c r="F123"/>
      <c r="G123"/>
      <c r="H123"/>
      <c r="I123"/>
    </row>
    <row r="124" spans="1:9" s="6" customFormat="1" x14ac:dyDescent="0.7">
      <c r="A124"/>
      <c r="B124"/>
      <c r="C124"/>
      <c r="D124"/>
      <c r="E124"/>
      <c r="F124"/>
      <c r="G124"/>
      <c r="H124"/>
      <c r="I124"/>
    </row>
    <row r="125" spans="1:9" s="6" customFormat="1" x14ac:dyDescent="0.7">
      <c r="A125"/>
      <c r="B125"/>
      <c r="C125"/>
      <c r="D125"/>
      <c r="E125"/>
      <c r="F125"/>
      <c r="G125"/>
      <c r="H125"/>
      <c r="I125"/>
    </row>
    <row r="126" spans="1:9" s="6" customFormat="1" x14ac:dyDescent="0.7">
      <c r="A126"/>
      <c r="B126"/>
      <c r="C126"/>
      <c r="D126"/>
      <c r="E126"/>
      <c r="F126"/>
      <c r="G126"/>
      <c r="H126"/>
      <c r="I126"/>
    </row>
    <row r="127" spans="1:9" s="6" customFormat="1" x14ac:dyDescent="0.7">
      <c r="A127"/>
      <c r="B127"/>
      <c r="C127"/>
      <c r="D127"/>
      <c r="E127"/>
      <c r="F127"/>
      <c r="G127"/>
      <c r="H127"/>
      <c r="I127"/>
    </row>
    <row r="128" spans="1:9" s="6" customFormat="1" x14ac:dyDescent="0.7">
      <c r="A128"/>
      <c r="B128"/>
      <c r="C128"/>
      <c r="D128"/>
      <c r="E128"/>
      <c r="F128"/>
      <c r="G128"/>
      <c r="H128"/>
      <c r="I128"/>
    </row>
    <row r="129" spans="1:11" s="6" customFormat="1" x14ac:dyDescent="0.7">
      <c r="A129"/>
      <c r="B129"/>
      <c r="C129"/>
      <c r="D129"/>
      <c r="E129"/>
      <c r="F129"/>
      <c r="G129"/>
      <c r="H129"/>
      <c r="I129"/>
    </row>
    <row r="130" spans="1:11" s="6" customFormat="1" x14ac:dyDescent="0.7">
      <c r="A130"/>
      <c r="B130"/>
      <c r="C130"/>
      <c r="D130"/>
      <c r="E130"/>
      <c r="F130"/>
      <c r="G130"/>
      <c r="H130"/>
      <c r="I130"/>
    </row>
    <row r="131" spans="1:11" s="6" customFormat="1" x14ac:dyDescent="0.7">
      <c r="A131"/>
      <c r="B131"/>
      <c r="C131"/>
      <c r="D131"/>
      <c r="E131"/>
      <c r="F131"/>
      <c r="G131"/>
      <c r="H131"/>
      <c r="I131"/>
    </row>
    <row r="132" spans="1:11" s="6" customFormat="1" x14ac:dyDescent="0.7">
      <c r="A132"/>
      <c r="B132"/>
      <c r="C132"/>
      <c r="D132"/>
      <c r="E132"/>
      <c r="F132"/>
      <c r="G132"/>
      <c r="H132"/>
      <c r="I132"/>
    </row>
    <row r="133" spans="1:11" s="6" customFormat="1" x14ac:dyDescent="0.7">
      <c r="A133"/>
      <c r="B133"/>
      <c r="C133"/>
      <c r="D133"/>
      <c r="E133"/>
      <c r="F133"/>
      <c r="G133"/>
      <c r="H133"/>
      <c r="I133"/>
    </row>
    <row r="134" spans="1:11" s="6" customFormat="1" x14ac:dyDescent="0.7">
      <c r="A134"/>
      <c r="B134"/>
      <c r="C134"/>
      <c r="D134"/>
      <c r="E134"/>
      <c r="F134"/>
      <c r="G134"/>
      <c r="H134"/>
      <c r="I134"/>
    </row>
    <row r="135" spans="1:11" s="6" customFormat="1" x14ac:dyDescent="0.7">
      <c r="A135"/>
      <c r="B135"/>
      <c r="C135"/>
      <c r="D135"/>
      <c r="E135"/>
      <c r="F135"/>
      <c r="G135"/>
      <c r="H135"/>
      <c r="I135"/>
    </row>
    <row r="136" spans="1:11" s="6" customFormat="1" x14ac:dyDescent="0.7">
      <c r="A136"/>
      <c r="B136"/>
      <c r="C136"/>
      <c r="D136"/>
      <c r="E136"/>
      <c r="F136"/>
      <c r="G136"/>
      <c r="H136"/>
      <c r="I136"/>
    </row>
    <row r="137" spans="1:11" s="6" customFormat="1" x14ac:dyDescent="0.7">
      <c r="A137"/>
      <c r="B137"/>
      <c r="C137"/>
      <c r="D137"/>
      <c r="E137"/>
      <c r="F137"/>
      <c r="G137"/>
      <c r="H137"/>
      <c r="I137"/>
    </row>
    <row r="138" spans="1:11" s="6" customFormat="1" x14ac:dyDescent="0.7">
      <c r="A138"/>
      <c r="B138"/>
      <c r="C138"/>
      <c r="D138"/>
      <c r="E138"/>
      <c r="F138"/>
      <c r="G138"/>
      <c r="H138"/>
      <c r="I138"/>
    </row>
    <row r="139" spans="1:11" s="6" customFormat="1" x14ac:dyDescent="0.7">
      <c r="A139"/>
      <c r="B139"/>
      <c r="C139"/>
      <c r="D139"/>
      <c r="E139"/>
      <c r="F139"/>
      <c r="G139"/>
      <c r="H139"/>
      <c r="I139"/>
    </row>
    <row r="140" spans="1:11" s="6" customFormat="1" x14ac:dyDescent="0.7">
      <c r="A140"/>
      <c r="B140"/>
      <c r="C140"/>
      <c r="D140"/>
      <c r="E140"/>
      <c r="F140"/>
      <c r="G140"/>
      <c r="H140"/>
      <c r="I140"/>
    </row>
    <row r="141" spans="1:11" s="6" customFormat="1" x14ac:dyDescent="0.7">
      <c r="A141"/>
      <c r="B141"/>
      <c r="C141"/>
      <c r="D141"/>
      <c r="E141"/>
      <c r="F141"/>
      <c r="G141"/>
      <c r="H141"/>
      <c r="I141"/>
    </row>
    <row r="142" spans="1:11" s="6" customFormat="1" x14ac:dyDescent="0.7">
      <c r="A142"/>
      <c r="B142"/>
      <c r="C142"/>
      <c r="D142"/>
      <c r="E142"/>
      <c r="F142"/>
      <c r="G142"/>
      <c r="H142"/>
      <c r="I142"/>
    </row>
    <row r="143" spans="1:11" s="6" customFormat="1" x14ac:dyDescent="0.7">
      <c r="A143"/>
      <c r="B143"/>
      <c r="C143"/>
      <c r="D143"/>
      <c r="E143"/>
      <c r="F143"/>
      <c r="G143"/>
      <c r="H143"/>
      <c r="I143"/>
    </row>
    <row r="144" spans="1:11" s="6" customFormat="1" x14ac:dyDescent="0.7">
      <c r="A144"/>
      <c r="B144"/>
      <c r="C144"/>
      <c r="D144"/>
      <c r="E144"/>
      <c r="F144"/>
      <c r="G144"/>
      <c r="H144"/>
      <c r="I144"/>
      <c r="J144"/>
      <c r="K144"/>
    </row>
  </sheetData>
  <autoFilter ref="A1:I110" xr:uid="{00000000-0001-0000-0000-000000000000}">
    <sortState xmlns:xlrd2="http://schemas.microsoft.com/office/spreadsheetml/2017/richdata2" ref="A2:I110">
      <sortCondition ref="F1:F110"/>
    </sortState>
  </autoFilter>
  <sortState xmlns:xlrd2="http://schemas.microsoft.com/office/spreadsheetml/2017/richdata2" ref="A2:I110">
    <sortCondition ref="A1:A110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D4" sqref="D4"/>
    </sheetView>
  </sheetViews>
  <sheetFormatPr defaultRowHeight="16.5" x14ac:dyDescent="0.7"/>
  <cols>
    <col min="1" max="1" width="10" customWidth="1"/>
    <col min="2" max="2" width="12" customWidth="1"/>
    <col min="3" max="3" width="22" customWidth="1"/>
    <col min="4" max="4" width="55" customWidth="1"/>
    <col min="5" max="5" width="40" customWidth="1"/>
  </cols>
  <sheetData>
    <row r="1" spans="1:7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230</v>
      </c>
    </row>
    <row r="2" spans="1:7" ht="33" x14ac:dyDescent="0.7">
      <c r="A2" s="1">
        <v>25</v>
      </c>
      <c r="B2" s="1" t="s">
        <v>219</v>
      </c>
      <c r="C2" s="1" t="s">
        <v>228</v>
      </c>
      <c r="D2" s="1" t="s">
        <v>229</v>
      </c>
      <c r="E2" s="1" t="s">
        <v>237</v>
      </c>
      <c r="F2" s="1"/>
      <c r="G2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매핑 완성본</vt:lpstr>
      <vt:lpstr>미매핑 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지균 윤</cp:lastModifiedBy>
  <dcterms:created xsi:type="dcterms:W3CDTF">2026-05-30T08:28:16Z</dcterms:created>
  <dcterms:modified xsi:type="dcterms:W3CDTF">2026-09-15T07:58:28Z</dcterms:modified>
</cp:coreProperties>
</file>